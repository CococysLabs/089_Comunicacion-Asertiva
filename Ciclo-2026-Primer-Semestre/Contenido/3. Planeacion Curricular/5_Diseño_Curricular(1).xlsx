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hidden"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<sst xmlns="http://schemas.openxmlformats.org/spreadsheetml/2006/main" count="1473" uniqueCount="467">
  <si>
    <t>Competencias que se formaran en el Segundo Semestre 2026</t>
  </si>
  <si>
    <t>Diseño de Contenido Curricular</t>
  </si>
  <si>
    <t xml:space="preserve">Resumen de Ponderacion y Horas </t>
  </si>
  <si>
    <t>Curso</t>
  </si>
  <si>
    <t>0089 - Comunicación Asertiva</t>
  </si>
  <si>
    <t>semestre que aplica</t>
  </si>
  <si>
    <t>Segundo Semestre 2026</t>
  </si>
  <si>
    <t>Semestre que aplica</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</si>
  <si>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</si>
  <si>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</si>
  <si>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</si>
  <si>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No.</t>
  </si>
  <si>
    <t>Tipo de Actividad</t>
  </si>
  <si>
    <t>Ponderacion</t>
  </si>
  <si>
    <t>Horas utilizadas</t>
  </si>
  <si>
    <t>Aspectos clave que debe abordar</t>
  </si>
  <si>
    <t>Competencia</t>
  </si>
  <si>
    <t>Nombre de la Unidad</t>
  </si>
  <si>
    <t>Tema</t>
  </si>
  <si>
    <t>Subtema</t>
  </si>
  <si>
    <t>Mes</t>
  </si>
  <si>
    <t>Semana</t>
  </si>
  <si>
    <t>Competencias relacionadas al perfil del egresado (Especifica)</t>
  </si>
  <si>
    <t>Valor Maximo Recomendado</t>
  </si>
  <si>
    <t xml:space="preserve">Analiza principios de comunicación asertiva mediante técnicas verbales, no verbales y autoevaluación guiada para expresar ideas con claridad, respeto y seguridad en contextos académicos y laborales </t>
  </si>
  <si>
    <t>Introducción a la comunicación asertiva</t>
  </si>
  <si>
    <t>Conceptos clave</t>
  </si>
  <si>
    <t>definición</t>
  </si>
  <si>
    <t>Actividades durante el peridodo de laboratorio</t>
  </si>
  <si>
    <t xml:space="preserve">Julio </t>
  </si>
  <si>
    <t>Competencias relacionadas al perfil del egresado (General)</t>
  </si>
  <si>
    <t>diferencias pasiva/agresiva/asertiva</t>
  </si>
  <si>
    <t>Valor profesional</t>
  </si>
  <si>
    <t>impacto en equipos</t>
  </si>
  <si>
    <t>Aplicacion en tecnologia</t>
  </si>
  <si>
    <t>Autoevaluación</t>
  </si>
  <si>
    <t>instrumento de estilo</t>
  </si>
  <si>
    <t>objetivos SMART personales</t>
  </si>
  <si>
    <t>Tiempo</t>
  </si>
  <si>
    <t xml:space="preserve">Reconoce los elementos del proceso comunicativo y barreras comunes mediante el análisis de situaciones reales para optimizar la comunicación en contextos orales y escritos </t>
  </si>
  <si>
    <t>Fundamentos del proceso comunicativo</t>
  </si>
  <si>
    <t>Elementos del proceso</t>
  </si>
  <si>
    <t>Proyectos</t>
  </si>
  <si>
    <t>emisor/mensaje</t>
  </si>
  <si>
    <t>Agosto</t>
  </si>
  <si>
    <t>canal/retroalimentación</t>
  </si>
  <si>
    <t>Funciones del lenguaje</t>
  </si>
  <si>
    <t>referencial/expresiva</t>
  </si>
  <si>
    <t>Prácticas</t>
  </si>
  <si>
    <t>fática/pragmática</t>
  </si>
  <si>
    <t>Barreras</t>
  </si>
  <si>
    <t>jergas y sobrecarga</t>
  </si>
  <si>
    <t>Tareas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</si>
  <si>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</si>
  <si>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mitigación (glosarios, resúmenes)</t>
  </si>
  <si>
    <t xml:space="preserve">1. Bienvenida y Presentación                                   </t>
  </si>
  <si>
    <t xml:space="preserve">Explica las características de la comunicación asertiva frente a estilos pasivos y agresivos utilizando ejemplos prácticos y análisis comparativo para mejorar la interacción en equipos de trabajo </t>
  </si>
  <si>
    <t>Comunicación verbal y no verbal</t>
  </si>
  <si>
    <t>Lenguaje corporal</t>
  </si>
  <si>
    <t>postura/gestos</t>
  </si>
  <si>
    <t>Tiempo Aproximado</t>
  </si>
  <si>
    <t>microexpresiones</t>
  </si>
  <si>
    <t>Paralenguaje</t>
  </si>
  <si>
    <t>No puedes excederte mas de 15 minutos</t>
  </si>
  <si>
    <t>Total</t>
  </si>
  <si>
    <t xml:space="preserve">Nombre y Formacion Academica </t>
  </si>
  <si>
    <t>Dar el nombre del tutor en turno, mostraar su correo y hablar de si es su primer semestre como tutor o el último, con esto dar la confianza de que ambas partes son estudiantes</t>
  </si>
  <si>
    <t>Validacion</t>
  </si>
  <si>
    <t>tono/ritmo/pausas;</t>
  </si>
  <si>
    <t>Virtual</t>
  </si>
  <si>
    <t>señales en videollamada</t>
  </si>
  <si>
    <t xml:space="preserve">Experiencia docente y profecional </t>
  </si>
  <si>
    <t>Si el tutor esta laborando o tiene experiencia profesional, es interesante que lo muestre para incentivar a los estudiantes a tener en cuenta que ya están en cierre y es su próxima actividad</t>
  </si>
  <si>
    <t>presencia profesional en remoto</t>
  </si>
  <si>
    <t xml:space="preserve">Crea estrategias de comunicación efectiva utilizando técnicas de escucha activa y empatía para interpretar mensajes con precisión y responder adecuadamente </t>
  </si>
  <si>
    <t>Escucha activa y empatía</t>
  </si>
  <si>
    <t>Técnicas de escucha</t>
  </si>
  <si>
    <t>parafraseo</t>
  </si>
  <si>
    <t>Rol del auxiliar dentro del curso (funciones, actividades y apoyo a los estudiantes).</t>
  </si>
  <si>
    <t>No</t>
  </si>
  <si>
    <t>En este caso, se hablará de los foros, clases virtuales y características especiales del curso con relación y el tutor, dar el correo electrónico constitucional y otros medios oficiales</t>
  </si>
  <si>
    <t>Tipo</t>
  </si>
  <si>
    <t>preguntas aclaratorias</t>
  </si>
  <si>
    <t>Verbo en Presente</t>
  </si>
  <si>
    <t>Objeto de la acción</t>
  </si>
  <si>
    <t>Empatía</t>
  </si>
  <si>
    <t>cognitiva vs afectiva</t>
  </si>
  <si>
    <t>Expectativas sobre la dinámica del curso</t>
  </si>
  <si>
    <t>Establecer como funcionan las clases, los foros, posibles entregas y actividades dentro de la clase, aclarar que la asistencia es clave para la aprobación del curso</t>
  </si>
  <si>
    <t>[Palabras conectoreas] Herramientas o metodología</t>
  </si>
  <si>
    <t>[Palabras conectoreas] Condiciones específicas</t>
  </si>
  <si>
    <t>ejercicios de perspectiva</t>
  </si>
  <si>
    <t xml:space="preserve">Tiempo que emplearas </t>
  </si>
  <si>
    <t>Corregir malentendidos</t>
  </si>
  <si>
    <t>señales tempranas</t>
  </si>
  <si>
    <t>protocolos de verificación</t>
  </si>
  <si>
    <t>Nivel</t>
  </si>
  <si>
    <t xml:space="preserve">Implementa procesos de comunicación en equipos presenciales y virtuales empleando herramientas colaborativas, metodologías ágiles y técnicas de coordinación estructurada para colaborar eficazmente y resolver problemáticas comunes </t>
  </si>
  <si>
    <t>Comunicación en equipos de desarrollo</t>
  </si>
  <si>
    <t>Roles y flujos:</t>
  </si>
  <si>
    <t>dev/líder/QA;</t>
  </si>
  <si>
    <t xml:space="preserve">2. Evaluación de Conocimientos Previos                             </t>
  </si>
  <si>
    <t>comunicación formal vs informal</t>
  </si>
  <si>
    <t>Especifica</t>
  </si>
  <si>
    <t>Analiza</t>
  </si>
  <si>
    <t>Ceremonias ágiles:</t>
  </si>
  <si>
    <t>stand-ups/retros</t>
  </si>
  <si>
    <t>principios de comunicación asertiva</t>
  </si>
  <si>
    <t>No puedes excederte mas de 45 minutos</t>
  </si>
  <si>
    <t>facilitación eficaz</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</si>
  <si>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</si>
  <si>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</si>
  <si>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Code-review:</t>
  </si>
  <si>
    <t>mediante técnicas verbales, no verbales y autoevaluación guiada</t>
  </si>
  <si>
    <t>feedback técnico accionable;</t>
  </si>
  <si>
    <t>https://docs.google.com/document/d/17use-97wjmeYc0q0QAwJFfg7SXe-xX8s7zLMd40zwak/edit?usp=drive_link</t>
  </si>
  <si>
    <t>para expresar ideas con claridad, respeto y seguridad en contextos académicos y laborales</t>
  </si>
  <si>
    <t>seguimiento de PR</t>
  </si>
  <si>
    <t xml:space="preserve">Diseña mensajes persuasivos y presentaciones profesionales aplicando técnicas de argumentación, análisis de audiencia y estructuras discursivas para comunicar propuestas de manera clara, convincente y estructurada </t>
  </si>
  <si>
    <t>Comunicación con clientes y usuarios</t>
  </si>
  <si>
    <t>Analizar</t>
  </si>
  <si>
    <t>Traducción técnica:</t>
  </si>
  <si>
    <t>metáforas/visuales</t>
  </si>
  <si>
    <t>Septiembre</t>
  </si>
  <si>
    <t>elevator pitch técnico → negocio</t>
  </si>
  <si>
    <t>Reuniones de requisitos:</t>
  </si>
  <si>
    <t>preguntas clave;</t>
  </si>
  <si>
    <t>registro y confirmación</t>
  </si>
  <si>
    <t>Escritura para clientes:</t>
  </si>
  <si>
    <t>correos/reportes</t>
  </si>
  <si>
    <t>post-mortem claros</t>
  </si>
  <si>
    <t>Comunicación en entornos virtuales</t>
  </si>
  <si>
    <t>Netiqueta:</t>
  </si>
  <si>
    <t>tono y formato en e-mail/chat;</t>
  </si>
  <si>
    <t>Redactaras una parte practica para realizar la evaluacion de conocimientos previos</t>
  </si>
  <si>
    <t>hilos y prioridades</t>
  </si>
  <si>
    <t>Usar kahoot para las preguntas de conocimientos previos
Mostrar el concepto de comuciación asertiva</t>
  </si>
  <si>
    <t>Herramientas colaborativas:</t>
  </si>
  <si>
    <t>issues/PRs/wikis</t>
  </si>
  <si>
    <t>ownership de docs</t>
  </si>
  <si>
    <t>Crea</t>
  </si>
  <si>
    <t>estrategias de comunicación efectiva</t>
  </si>
  <si>
    <t>Reuniones remotas</t>
  </si>
  <si>
    <t>roles (moderador/timekeeper)</t>
  </si>
  <si>
    <t>utilizando técnicas de escucha activa y empatía</t>
  </si>
  <si>
    <t>para interpretar mensajes con precisión y responder adecuadamente</t>
  </si>
  <si>
    <t>fallback ante fallos</t>
  </si>
  <si>
    <t>Crear</t>
  </si>
  <si>
    <t xml:space="preserve">3. Presentación de los Estudiantes                                </t>
  </si>
  <si>
    <t xml:space="preserve">Crea mensajes asertivos orientados a la resolución de conflictos mediante el uso de estrategias comunicativas adecuadas para generar soluciones colaborativas en entornos académicos y profesionales </t>
  </si>
  <si>
    <t>Asertividad: límites y críticas</t>
  </si>
  <si>
    <t>Decir “no” profesionalmente:</t>
  </si>
  <si>
    <t>estructura del mensaje;</t>
  </si>
  <si>
    <t>negociar límites</t>
  </si>
  <si>
    <t xml:space="preserve">No puedes excederte mas de 30 minutos </t>
  </si>
  <si>
    <t>Dar feedback</t>
  </si>
  <si>
    <t>técnicas (sandwich, situacional);</t>
  </si>
  <si>
    <t>Seleccion al Azar de 5 Estudiantes</t>
  </si>
  <si>
    <t>Como primera opción preguntar por voluntarios para la actividad, de lo contrario seleccionados por el auxiliar</t>
  </si>
  <si>
    <t>evitar desmotivación</t>
  </si>
  <si>
    <t>Regulación emocional:</t>
  </si>
  <si>
    <t>pausas/respiración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</si>
  <si>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</si>
  <si>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</si>
  <si>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mantener profesionalidad</t>
  </si>
  <si>
    <t>¿Cuales son las expectativas del curos?
¿Hobbie relacionado a tecnología?
¿Hobbie no relacionado a tecnología?</t>
  </si>
  <si>
    <t>Implementa</t>
  </si>
  <si>
    <t>procesos de comunicación en equipos presenciales y virtuales</t>
  </si>
  <si>
    <t>Persuasión, negociación y presentación</t>
  </si>
  <si>
    <t>Persuasión</t>
  </si>
  <si>
    <t xml:space="preserve">credibilidad y evidencia; </t>
  </si>
  <si>
    <t>empleando herramientas colaborativas, metodologías ágiles y técnicas de coordinación estructurada</t>
  </si>
  <si>
    <t>para colaborar eficazmente y resolver problemáticas comunes</t>
  </si>
  <si>
    <t>framing de propuestas</t>
  </si>
  <si>
    <t>Evaluar</t>
  </si>
  <si>
    <t>Negociación:</t>
  </si>
  <si>
    <t>BATNA/preparación</t>
  </si>
  <si>
    <t>acuerdos y trade-offs</t>
  </si>
  <si>
    <t xml:space="preserve">4.  Senso de Horarios de Calificación                                  </t>
  </si>
  <si>
    <t>Presentación técnica</t>
  </si>
  <si>
    <t>estructura efectiva;</t>
  </si>
  <si>
    <t>manejo de Q&amp;A</t>
  </si>
  <si>
    <t>Octubre</t>
  </si>
  <si>
    <t xml:space="preserve">Deberas estar recordando que deben contestar el formulario asi mismo dejar el link fijado en la llamada </t>
  </si>
  <si>
    <t>Esta actividad quedara abierta hasta el fin de la clase. pero emplearas 5 min especificos para la actividad</t>
  </si>
  <si>
    <t>Redacción técnica y análisis de textos</t>
  </si>
  <si>
    <t>Claridad y estilo:</t>
  </si>
  <si>
    <t>voz activa;</t>
  </si>
  <si>
    <t xml:space="preserve">Link de google forms donde este el cuestionario </t>
  </si>
  <si>
    <t>https://docs.google.com/forms/d/e/1FAIpQLSerNxaX7hEnrCBDakTEq76RiQAuh1lBoMVeFyyHEaUkvvZJpg/viewform?usp=publish-editor</t>
  </si>
  <si>
    <t>concisión y formato</t>
  </si>
  <si>
    <t>General</t>
  </si>
  <si>
    <t>Estructuras clave:</t>
  </si>
  <si>
    <t>Diseña</t>
  </si>
  <si>
    <t>README, manual, post-mortem</t>
  </si>
  <si>
    <t>mensajes persuasivos y presentaciones profesionales</t>
  </si>
  <si>
    <t>aplicando técnicas de argumentación, análisis de audiencia y estructuras discursivas</t>
  </si>
  <si>
    <t>para comunicar propuestas de manera clara, convincente y estructurada</t>
  </si>
  <si>
    <t>Revisión crítica:</t>
  </si>
  <si>
    <t>detectar ambigüedades</t>
  </si>
  <si>
    <t>Aplicar</t>
  </si>
  <si>
    <t>checklist de calidad</t>
  </si>
  <si>
    <t>Integración práctica y evaluación</t>
  </si>
  <si>
    <t>Simulaciones integradoras: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</si>
  <si>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</si>
  <si>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</si>
  <si>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de 14:00 -  18:00, Martes de 08:00 - 13:00, Jueves de 08:00 - 13:00, Viernes de 08:00 - 13:00</t>
  </si>
  <si>
    <t xml:space="preserve">5.  Mostrar Programa del Curso                 </t>
  </si>
  <si>
    <t>mensajes asertivos orientados a la resolución de conflictos</t>
  </si>
  <si>
    <t>mediante el uso de estrategias comunicativas adecuadas</t>
  </si>
  <si>
    <t>para generar soluciones colaborativas en entornos académicos y profesionales</t>
  </si>
  <si>
    <t>No puedes excederte mas de 30 minutos</t>
  </si>
  <si>
    <t xml:space="preserve">6. Evaluación de Conocimientos del Curso Actual                                  </t>
  </si>
  <si>
    <t xml:space="preserve">Redactaras 20 preguntas con sus respectivas respuestas </t>
  </si>
  <si>
    <t>Explica</t>
  </si>
  <si>
    <t>las características de la comunicación asertiva frente a estilos pasivos y agresivos</t>
  </si>
  <si>
    <t>utilizando ejemplos prácticos y análisis comparativo</t>
  </si>
  <si>
    <t>para mejorar la interacción en equipos de trabajo</t>
  </si>
  <si>
    <t>Comprender</t>
  </si>
  <si>
    <t>Reconoce</t>
  </si>
  <si>
    <t>los elementos del proceso comunicativo y barreras comunes</t>
  </si>
  <si>
    <t>mediante el análisis de situaciones reales</t>
  </si>
  <si>
    <t>para optimizar la comunicación en contextos orales y escritos</t>
  </si>
  <si>
    <t>Recordar</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</si>
  <si>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</si>
  <si>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</si>
  <si>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</si>
  <si>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</si>
  <si>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</si>
  <si>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</si>
  <si>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</si>
  <si>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Respeto Comunicativo</t>
  </si>
  <si>
    <t>Descripcion</t>
  </si>
  <si>
    <t xml:space="preserve">El respeto comunicativo implica reconocer la validez de las opiniones ajenas, expresarse con consideración y mantener una actitud abierta durante la interacción. Supone escuchar sin juzgar, evitar respuestas impulsivas y promover un ambiente de diálogo equilibrado.							
							</t>
  </si>
  <si>
    <t>Como se relaciona con los conocimientos de la sesion y se aplicaria</t>
  </si>
  <si>
    <t xml:space="preserve">Se vincula con la comprensión de los estilos de comunicación (pasivo, agresivo y asertivo), ya que el respeto es la base para adoptar conductas asertivas. Se refleja en cómo los estudiantes colaboran en equipos, gestionan desacuerdos técnicos y aplican los conceptos de comunicación profesional abordados en la sesión.							
							</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</si>
  <si>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</si>
  <si>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</si>
  <si>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</si>
  <si>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</si>
  <si>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</si>
  <si>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</si>
  <si>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</si>
  <si>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</si>
  <si>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</si>
  <si>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</si>
  <si>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</si>
  <si>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</si>
  <si>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</si>
  <si>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</si>
  <si>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</si>
  <si>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</si>
  <si>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</si>
  <si>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</si>
  <si>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</si>
  <si>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</si>
  <si>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</si>
  <si>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actividades</t>
  </si>
  <si>
    <t>Coloca el tiempo que usar en la actividad, un tiempo sugerido 30 minutos</t>
  </si>
  <si>
    <t>Descripcion de la Actividad</t>
  </si>
  <si>
    <t xml:space="preserve">En parejas, representen una situación sobre situaciones típicas de ingeniería de las siguientes:
Comunicar un desacuerdo técnico.
Pedir aclaraciones sobre un requerimiento.
Responder a una crítica sobre un proyecto.
Para la situación, realicen dos representaciones:
Primera representación:
 Respuesta natural o espontánea (tal como ocurriría normalmente, sin aplicar técnicas de comunicación asertiva).
Segunda representación:
 Respuesta aplicando comunicación asertiva, considerando:
Uso de mensajes en primera persona (“yo”).
Claridad y estructura del mensaje.
Tono profesional y respetuoso.
Postura y lenguaje no verbal adecuados.
Retroalimentación
Después de cada situación, la pareja observadora deberá brindar retroalimentación concreta enfocada en:
Claridad del mensaje.
Nivel de respeto.
Precisión en la comunicación.
</t>
  </si>
  <si>
    <t>Responsabilidad Comunicativa</t>
  </si>
  <si>
    <t>Actividad 2 (Optativa puedes hacerla si lo consideras apropiado)</t>
  </si>
  <si>
    <t>Implica expresar ideas de manera clara y precisa, asegurando que el mensaje transmitido se entienda correctamente. También abarca la responsabilidad de escuchar y verificar que la información compartida sea correcta y completa.</t>
  </si>
  <si>
    <t>Coloca el tiempo que usar en la actividad, un tiempo sugerido 20 minutos</t>
  </si>
  <si>
    <t>Este valor se relaciona con los elementos y funciones del proceso comunicativo, ya que promueve la atención en la correcta emisión y recepción del mensaje. Permite a los estudiantes minimizar barreras comunicativas y mejorar la efectividad de la comunicación en equipos de trabajo y proyectos de ingeniería.</t>
  </si>
  <si>
    <t>3. Cierre</t>
  </si>
  <si>
    <t>Tiene que estar en un rango de 10 a 15 minutos</t>
  </si>
  <si>
    <t>Asignacion de Actividades</t>
  </si>
  <si>
    <t>Aclaración de dudas finales sobre los conceptos vistos, revisión rápida de los objetivos SMART elaborados y retroalimentación general sobre la práctica. Se recordarán las aplicaciones directas en la carrera y el trabajo en equipos de ingeniería.</t>
  </si>
  <si>
    <t>Resuelve alguna duda, asigna las actividades que deben realizar, dudas de proyectos, etc</t>
  </si>
  <si>
    <t>Congruencia Comunicativa</t>
  </si>
  <si>
    <t>Consiste en mantener coherencia entre lo que se dice y cómo se dice, integrando postura, gestos, tono y presencia. La congruencia fortalece la credibilidad y evita contradicciones entre comunicación verbal y no verbal.</t>
  </si>
  <si>
    <t>Se vincula directamente con el lenguaje corporal, el paralenguaje y la comunicación en entornos virtuales. Aplicar este valor permite que los estudiantes transmitan mensajes claros y profesionales en presentaciones, reuniones técnicas y colaboraciones remotas.</t>
  </si>
  <si>
    <t xml:space="preserve">En parejas, redacten un mensaje técnico corto sobre un tema de ingeniería (cualquier instrucción, aviso o explicación).
Intercambien el mensaje con otro grupo.
El grupo que recibe el mensaje debe identificar dentro del texto:
- Emisor
- Mensaje
- Canal
- Retroalimentación posible
- Barreras de comunicación
El grupo analista entrega su retroalimentación general del mensaje.
</t>
  </si>
  <si>
    <t>Se hará una revisión grupal de los mensajes elaborados, se aclararán dudas sobre los elementos y funciones del proceso comunicativo</t>
  </si>
  <si>
    <t>Empatía Comunicativa</t>
  </si>
  <si>
    <t xml:space="preserve">La actividad se desarrollará en parejas.
Análisis del caso
A partir de la situación asignada, la pareja deberá redactar un análisis donde identifique y explique cómo se manifiestan:
Lenguaje corporal: postura, gestos y microexpresiones.
Paralenguaje: tono, ritmo, pausas y matices de la voz.
Comunicación virtual: señales en videollamada y elementos de presencia profesional en remoto.
Propuesta de mejora
Redactar recomendaciones concretas para mejorar:
La postura y los gestos.
El uso del tono, ritmo y pausas.
Profesionalismo en entornos virtuales.
Reflexión final conjunta
Elaborar un breve párrafo donde expliquen cómo la coherencia entre comunicación verbal y no verbal fortalece la asertividad y la presencia profesional.
Situación a analizar
Una empresa de tecnología organiza una reunión técnica en modalidad virtual para presentar los avances de un proyecto ante el equipo directivo. La ingeniera responsable del proyecto debe explicar los resultados obtenidos y justificar un retraso en la entrega final.
Durante la videollamada, la ingeniera mantiene la cámara encendida, pero su postura es encorvada y evita mirar directamente a la cámara. Con frecuencia baja la mirada hacia sus notas y realiza movimientos repetitivos con las manos que no siempre acompañan su discurso. En algunos momentos, muestra microexpresiones de tensión cuando menciona el retraso del proyecto.
En cuanto al paralenguaje, su tono de voz es bajo al inicio, acelera el ritmo cuando explica los problemas técnicos y utiliza pocas pausas, lo que dificulta que las ideas principales se comprendan con claridad. Cuando responde preguntas del equipo directivo, hace silencios prolongados y responde con frases breves que pueden interpretarse como inseguridad.
Además, se observan algunos elementos relacionados con la presencia profesional en remoto: la iluminación es insuficiente, el encuadre de la cámara no está bien centrado y se perciben distracciones en el entorno
</t>
  </si>
  <si>
    <t>Capacidad de escuchar con atención, comprender la perspectiva del otro y responder de manera respetuosa y consciente.</t>
  </si>
  <si>
    <t>Se relaciona con las técnicas de escucha activa, la empatía cognitiva y afectiva, y la corrección de malentendidos. Aplicar este valor permite mejorar la calidad de la interacción en proyectos de ingeniería, evitando interpretaciones incorrectas y fomentando un clima de colaboración.</t>
  </si>
  <si>
    <t>Aclaración de dudas sobre lenguaje corporal, paralenguaje y comunicación en entornos virtuales, y retroalimentación general sobre la importancia de la coherencia comunicativa en escenarios técnicos.</t>
  </si>
  <si>
    <t xml:space="preserve">Caso: El error en el módulo de autenticación
Un equipo de estudiantes está desarrollando un sistema web para un curso. Durante la reunión, Ana (líder del módulo) explica que hubo un fallo en el proceso de autenticación, pero José, quien trabaja en frontend, interpreta que el problema está en la interfaz y comienza a cuestionar el diseño sin escuchar completamente. Daniela intenta intervenir, pero interrumpe varias veces, generando tensión y confusión. El equipo termina sin claridad sobre la causa del problema ni sobre las tareas siguientes.
Actividad en parejas, deberán:
Leer el caso y detectar problemas de escucha: identificar dónde falló el parafraseo, dónde faltaron preguntas aclaratorias y qué señales de malentendidos aparecen.
Analizar la empatía presente o ausente: diferenciar si hubo empatía cognitiva, afectiva o ninguna, y explicar cómo esto afectó la interacción.
Aplicar técnicas de corrección: reescribir cómo debió gestionarse la conversación utilizando señales tempranas (detener, aclarar, verificar) y protocolos de verificación (confirmar mensaje, repetir acuerdos).	</t>
  </si>
  <si>
    <t>Espacio breve para aclarar dudas sobre las técnicas de escucha, diferencias entre empatía cognitiva y afectiva. Se refuerza la importancia de verificar la comprensión antes de responder.</t>
  </si>
  <si>
    <t>Escucha Profesional</t>
  </si>
  <si>
    <t>Se invita a los estudiantes a reflexionar brevemente sobre la importancia de escuchar sin interrumpir y expresar ideas sin descalificar a otros. El auxiliar respectivo guía una mini dinámica donde algún estudiante comparte, en una frase, qué significa para él o ella comunicarse con respeto. Se refuerza la idea de que el respeto es la base para la asertividad, la colaboración y el diálogo efectivo ya sea en un ambiente estudiantil o laboral.</t>
  </si>
  <si>
    <t>Este valor se conecta directamente con los contenidos de comunicación asertiva, escucha activa y trabajo en equipo. El respeto comunicativo permite que los estudiantes apliquen técnicas verbales y no verbales de forma adecuada, facilita el intercambio de ideas y promueve un ambiente seguro donde todos pueden participar. Durante la sesión, los estudiantes aplicarán este valor al trabajar en parejas, equipos o discusiones, asegurando interacciones más constructivas, claras y empáticas.</t>
  </si>
  <si>
    <t>Comunicación asertiva y empática</t>
  </si>
  <si>
    <t>Se presenta una situación breve donde una explicación técnica resulta difícil de comprender para un cliente no especializado. A partir de este escenario, los estudiantes reflexionan de forma individual o en parejas sobre la importancia de transmitir ideas de manera clara, ordenada y comprensible. Se promueve el uso de un lenguaje sencillo, la estructuración adecuada del mensaje y la verificación de la comprensión del interlocutor.</t>
  </si>
  <si>
    <t>Trabajo colaborativo y comunicación efectiva en equipo</t>
  </si>
  <si>
    <t>La sesión se enfoca en la comunicación con clientes y usuarios, incluyendo la traducción de conceptos técnicos a lenguaje accesible, la formulación de preguntas clave y la correcta documentación de requisitos. Este valor fortalece la capacidad de los estudiantes para comunicarse de manera efectiva en contextos reales, asegurando que sus ideas sean entendidas correctamente por distintos tipos de audiencia.</t>
  </si>
  <si>
    <t>Se presenta una situación donde un equipo de desarrollo enfrenta problemas de comunicación durante la ejecución de un proyecto (malentendidos, falta de coordinación o errores en la interpretación de tareas).
Los estudiantes reflexionan sobre la importancia de la comunicación clara, la responsabilidad individual, la escucha activa y el respeto en entornos colaborativos. Se enfatiza la necesidad de coordinar esfuerzos y mantener una comunicación efectiva para el logro de objetivos comunes.</t>
  </si>
  <si>
    <t>La actividad se relaciona con los contenidos de la sesión al aplicar principios de comunicación efectiva en equipos de trabajo, incluyendo el uso de escucha activa, claridad en el mensaje y coordinación en entornos colaborativos.
Estos conocimientos se aplican en contextos reales de desarrollo de proyectos, donde es necesario interpretar correctamente la información, coordinar tareas y mantener una comunicación clara para evitar errores y mejorar el trabajo en equipo.</t>
  </si>
  <si>
    <t xml:space="preserve">Entregar en UEDi en formato PDF. 
“Role-play de Comunicación Asertiva en Situaciones Académicas”
Escenarios propuestos
El auxiliar presenta tres escenarios breves que reflejan situaciones académicas comunes donde suele existir conflicto o dificultad comunicativa, por ejemplo:
Desacuerdo en un trabajo en equipo.
Solicitud de aclaración al docente.
Diferencia de opinión en una reunión académica.
Los estudiantes trabajan en parejas o grupos de 3. Cada grupo selecciona un escenario y realiza un role-play aplicando principios de comunicación asertiva:
Expresar ideas con claridad.
Utilizar mensajes en primera persona (“yo”).
Mantener un lenguaje no verbal adecuado.
Evitar juicios o agresividad.
Formular solicitudes o límites de manera respetuosa.
Después de cada representación, los observadores brindan retroalimentación estructurada con base en los siguientes criterios:
Claridad del mensaje.
Tono y lenguaje corporal.
Respeto y control emocional.
Formulación adecuada de peticiones o límites.
Finalmente, los estudiantes reflexionan sobre qué comportamientos asertivos lograron aplicar y cuáles necesitan reforzar en futuras interacciones.
</t>
  </si>
  <si>
    <t>Los estudiantes trabajarán en equipos para simular una interacción profesional entre un cliente y un equipo técnico. Cada grupo recibirá un escenario donde deberán interpretar un requerimiento del cliente (por ejemplo, una solicitud de sistema o mejora).
Los estudiantes deberán aplicar técnicas de comunicación efectiva, como escucha activa, formulación de preguntas clave y adaptación del lenguaje, con el fin de comprender correctamente las necesidades del cliente. Posteriormente, deberán presentar una propuesta breve utilizando recursos como metáforas, ejemplos o un elevator pitch técnico orientado al negocio.
Durante la actividad, se evaluará la claridad del mensaje, la capacidad de interpretación, la estructura de la comunicación y la adecuación al contexto del cliente. Finalmente, se realizará una retroalimentación grupal sobre las estrategias utilizadas y las oportunidades de mejora en la comunicación.</t>
  </si>
  <si>
    <t>Los estudiantes trabajarán en equipos para simular la dinámica de un equipo de desarrollo en un entorno virtual. Cada grupo organizará una reunión tipo stand-up donde deberán compartir avances, identificar bloqueos y coordinar tareas utilizando una comunicación clara y estructurada.
Los integrantes asumirán roles específicos (líder, desarrollador, QA) y deberán aplicar técnicas de comunicación efectiva, incluyendo escucha activa, claridad en el mensaje y coordinación colaborativa.
Durante la actividad se evaluará la participación, la claridad en la comunicación, la organización del equipo y la capacidad de resolver problemas mediante interacción colaborativa.</t>
  </si>
  <si>
    <t>Se realiza una retroalimentación grupal sobre el desempeño de los equipos, destacando las fortalezas y áreas de mejora en la comunicación.
El auxiliar refuerza la importancia de la comunicación efectiva en entornos colaborativos, especialmente en equipos de desarrollo y contextos virtuales.
Finalmente, los estudiantes reflexionan sobre cómo pueden mejorar su participación y comunicación en futuros trabajos en equipo.</t>
  </si>
  <si>
    <t>Se realiza una retroalimentación general donde los estudiantes comparten las principales dificultades y aprendizajes obtenidos durante la actividad. Se refuerzan los conceptos clave de comunicación asertiva, escucha activa y adaptación del mensaje según la audiencia.</t>
  </si>
  <si>
    <t>Se abre un espacio breve para resolver dudas sobre la actividad práctica y los conceptos abordados. El auxiliar refuerza los puntos clave de la comunicación asertiva y asigna una tarea corta: elaborar un ejemplo personal de un mensaje asertivo aplicando claridad, respeto y control emocional. Se indican instrucciones, fecha de entrega y criterios básicos de evaluación. Finalmente, se confirma que todos comprendan los pasos siguientes del curso y se cierran los objetivos de la sesión.</t>
  </si>
  <si>
    <t>Comunicación asertiva y manejo de conflictos</t>
  </si>
  <si>
    <t>Se plantea una situación donde un integrante de un equipo debe comunicar una inconformidad o dar retroalimentación a un compañero en un entorno profesional.
Los estudiantes reflexionan sobre la importancia de expresar opiniones de forma clara, respetuosa y constructiva, así como la regulación emocional en situaciones de tensión. Se enfatiza la necesidad de mantener una comunicación profesional orientada a la solución de conflictos.</t>
  </si>
  <si>
    <t>Credibilidad y comunicación profesional</t>
  </si>
  <si>
    <t>La actividad se relaciona con los contenidos de la sesión al aplicar principios de comunicación asertiva, manejo de emociones y retroalimentación efectiva en contextos de interacción profesional.
Estos conocimientos se aplican en entornos reales donde es necesario resolver conflictos, negociar ideas y mantener relaciones laborales saludables mediante una comunicación clara y respetuosa.</t>
  </si>
  <si>
    <t>Se presenta una situación donde un estudiante debe defender una propuesta técnica frente a una audiencia, considerando la claridad del mensaje, la evidencia utilizada y la forma de comunicar sus ideas.
Los estudiantes reflexionan sobre la importancia de la credibilidad, la claridad y la organización en la comunicación profesional, así como el uso adecuado de argumentos y evidencia para sustentar una propuesta.</t>
  </si>
  <si>
    <t>La actividad se relaciona con los contenidos de la sesión al aplicar técnicas de persuasión, argumentación y comunicación estructurada en la presentación de ideas.
Estos conocimientos se aplican en contextos reales donde es necesario defender propuestas, presentar soluciones y comunicar información técnica de manera clara y convincente.</t>
  </si>
  <si>
    <t>Responsabilidad profesional</t>
  </si>
  <si>
    <t>Se presenta una situación donde los estudiantes deben integrar todos los conocimientos adquiridos en el curso para resolver un caso práctico.
Se reflexiona sobre la importancia de asumir responsabilidades en la comunicación, mantener la ética profesional y garantizar claridad y precisión en la transmisión de ideas durante simulaciones reales.</t>
  </si>
  <si>
    <t>La actividad se relaciona con la integración de conocimientos desarrollados a lo largo del curso, incluyendo comunicación asertiva, trabajo en equipo, negociación y presentación técnica.
Estos conocimientos se aplican en contextos reales donde se requiere comunicar ideas de manera clara, estructurada y profesional, asegurando una adecuada interacción en entornos laborales.</t>
  </si>
  <si>
    <t>Los estudiantes trabajarán en grupos para analizar diferentes situaciones de conflicto en entornos académicos o laborales.
Cada grupo recibirá un caso (por ejemplo: desacuerdo en tareas, retroalimentación negativa o incumplimiento de responsabilidades) y deberá plantear una solución aplicando técnicas de comunicación asertiva.
Los estudiantes deberán:
Formular un mensaje claro y respetuoso
Aplicar técnicas de feedback constructivo
Regular sus emociones durante la interacción
Proponer una solución colaborativa
Al finalizar, cada grupo presentará su propuesta y se realizará una retroalimentación sobre la efectividad de la comunicación utilizada.</t>
  </si>
  <si>
    <t>Los estudiantes trabajarán en parejas o pequeños grupos para diseñar una propuesta técnica o solución a un problema planteado.
Cada equipo deberá estructurar su propuesta considerando:
Definición clara del problema
Uso de argumentos y evidencia
Aplicación de técnicas de persuasión (framing)
Organización lógica de la información
Posteriormente, deberán presentar su propuesta en formato breve (tipo pitch), respondiendo preguntas del docente o compañeros (Q&amp;A).
Se evaluará la claridad del mensaje, la estructura de la presentación, el uso de evidencia y la capacidad de responder preguntas de manera efectiva.</t>
  </si>
  <si>
    <t>Se realiza una retroalimentación general sobre el manejo de la comunicación en situaciones de conflicto, destacando buenas prácticas y áreas de mejora.
El auxiliar refuerza la importancia de la comunicación asertiva, la regulación emocional y el respeto en entornos profesionales.
Finalmente, se invita a los estudiantes a aplicar estas estrategias en su entorno académico y laboral para mejorar sus relaciones interpersonales y el trabajo en equipo.</t>
  </si>
  <si>
    <t>Se realiza una retroalimentación sobre las propuestas presentadas, destacando el uso adecuado de técnicas de persuasión, claridad en la comunicación y estructura del mensaje.
El auxiliar refuerza la importancia de comunicar ideas de forma convincente en contextos profesionales, especialmente en la presentación de proyectos y toma de decisiones.
Finalmente, se invita a los estudiantes a aplicar estas habilidades en futuras presentaciones académicas y profesionales.</t>
  </si>
  <si>
    <t>Los estudiantes realizarán una simulación integradora donde deberán aplicar todos los conocimientos adquiridos durante el curso.
Cada grupo recibirá un caso práctico en el que deberán:
Analizar una situación de comunicación real (equipo, cliente o proyecto)
Identificar problemas de comunicación y barreras existentes
Proponer una solución clara y estructurada
Elaborar un documento corto (correo, informe o README básico)
Presentar una propuesta técnica breve
Responder preguntas (Q&amp;A)
Durante la actividad se evaluará la claridad del mensaje, la organización de la información, la calidad de la redacción y la capacidad de comunicación oral.</t>
  </si>
  <si>
    <t>Examen final</t>
  </si>
  <si>
    <t>Se realiza una retroalimentación general del curso, destacando el desarrollo de habilidades de comunicación en los estudiantes.
El auxiliar resalta la importancia de aplicar estas competencias en entornos reales de trabajo, promoviendo la mejora continua en la comunicación profesional.
Finalmente, se invita a los estudiantes a reflexionar sobre su aprendizaje y a identificar cómo aplicarán estas habilidades en su vida académica y profesional.</t>
  </si>
  <si>
    <t>Practicas</t>
  </si>
  <si>
    <t>La sumatoria de los puntos de los proyectos debe superar el  60% del total de la nota, no puede ser un 100%</t>
  </si>
  <si>
    <t>1. Primer Proyecto</t>
  </si>
  <si>
    <t>Horas para realizarlo</t>
  </si>
  <si>
    <t>Titulo</t>
  </si>
  <si>
    <t>Transferencia de Conocimiento Técnico en Estudiantes</t>
  </si>
  <si>
    <t>Qué tecnologías, lenguajes de programación, plataformas, hardware o software se utilizaran</t>
  </si>
  <si>
    <t>La sumatoria de los puntos de los practicas debe no debe super el  20%</t>
  </si>
  <si>
    <t>Uso de recursos y herramientas:Software y Herramientas Digitales
Presentaciones: PowerPoint o Canva.
Interacción y encuestas: Kahoot o Mentimeter.
Validación de aprendizaje: Google Forms.
Documentación: La documentación (Informe Final y Documento de Planificación) debe realizarse en formato Markdown (MD).</t>
  </si>
  <si>
    <t>1. Primera Practica</t>
  </si>
  <si>
    <t>Obligatoria</t>
  </si>
  <si>
    <t>Descripción de lo que se realizara</t>
  </si>
  <si>
    <t>Se le solicita a los estudiantes el diseño y ejecución de una capacitación presencial enfocada en superar el problema de las presentaciones técnicas ineficaces. La ineficacia se debe a la falta de interacción con el público y al uso inadecuado de habilidades de comunicación.
La solución propuesta es un workshop interactivo de 60 a 70 minutos que integre contenido técnico, dinámicas de participación y estrategias de oratoria, buscando una transferencia efectiva del conocimiento. El objetivo es lograr que al menos el 80% de los participantes comprendan los conceptos, desarrollando en los estudiantes de ingeniería habilidades de liderazgo, comunicación verbal y no verbal, y trabajo en equipo. Los entregables clave incluyen un video de planificación, la grabación de la ejecución ante un público de al menos 20 personas, y un informe final.</t>
  </si>
  <si>
    <t>2. Segundo Proyecto</t>
  </si>
  <si>
    <t>Identificación y aplicación de la Comunicación Asertiva</t>
  </si>
  <si>
    <t>Procesador de Texto: Microsoft Word, Google Docs o similar para la elaboración del informe de la práctica.
Plataformas de Video/Entrega:
YouTube: Uso preferente para la publicación de la grabación de la representación en video (debe ser público).
Google Drive: Alternativa para el almacenamiento y compartición del material audiovisual.
Plataforma virtual institucional: Acceso para la entrega de evidencias.</t>
  </si>
  <si>
    <t>Negociación Técnica en Equipos de Desarrollo de Software</t>
  </si>
  <si>
    <t>Los estudiantes abordaran el problema de las dificultades de comunicación en entornos académicos y laborales, donde estilos pasivos o agresivos causan conflictos, malentendidos y bajo rendimiento grupal. El objetivo principal es que los estudiantes identifiquen, analicen y comparen estos tres estilos de comunicación: pasiva, agresiva y asertiva. Para lograrlo, los participantes se organizan en grupos y realizan representaciones prácticas en video, donde cada pareja ejemplifica un estilo de comunicación diferente en una situación cotidiana. Posteriormente, el grupo debe realizar una reflexión conjunta y presencial para analizar el comportamiento observado, reforzar los conocimientos adquiridos y evidenciar la comprensión de los conceptos. Mediante la aplicación de técnicas como la escucha activa y la expresión clara de ideas, la práctica busca fortalecer las habilidades comunicativas de los estudiantes, promoviendo el respeto, la sana convivencia y una interacción más efectiva necesaria para su desarrollo profesional. Este ejercicio contribuye directamente al logro de objetivos comunes y a la mejora del trabajo en equipo.</t>
  </si>
  <si>
    <t>Plataformas de Colaboración y Gestión:
Trello y Notion para la organización del trabajo, planificación de tareas y definición de responsabilidades.
GitHub y Git para el trabajo colaborativo, la documentación (mediante commits e issues simulados) y la gestión del repositorio.
Docusaurus para la publicación final de toda la documentación del proyecto.
GitHub Pages como plataforma de alojamiento para el sitio web de Docusaurus.
Google Drive para compartir materiales entre estudiantes.
Lenguajes de Documentación y Formatos:
Markdown (MD) para elaborar la documentación del proyecto.
Software para Presentación y Apoyo:
PowerPoint o Canva para presentaciones.
YouTube para subir los videos del elevator pitch y la simulación de la junta directiva.
Kahoot / Mentimeter y Google Forms como herramientas digitales de apoyo.</t>
  </si>
  <si>
    <t>2. Segunda Practica</t>
  </si>
  <si>
    <t>Se le solicita a los estudiantes  abordar la dificultad de comunicar ideas técnicas, negociar soluciones y documentar procesos de forma profesional en entornos colaborativos.
El proyecto se estructura en dos fases principales: planificación y ejecución. En la primera fase, los equipos planifican el trabajo usando herramientas como Trello y Notion, y desarrollan un elevator pitch individual para una solución. La segunda fase implica la simulación de la toma de requerimientos de un negocio real mediante entrevistas, culminando con una Junta Directiva técnica presencial para negociar y resolver conflictos estratégicos. Este flujo se documenta en GitHub y Docusaurus, evidenciando la discusión, la aplicación de comunicación asertiva y los acuerdos logrados. El objetivo es simular un flujo de trabajo real, integrando prácticas ágiles y fortaleciendo la comunicación efectiva y la resolución de conflictos.</t>
  </si>
  <si>
    <t>Optativa</t>
  </si>
  <si>
    <t>3. Tercer Proyecto</t>
  </si>
  <si>
    <t>Software/Plataformas:
Procesador de texto (como Microsoft Word, Google Docs o similar).
YouTube (plataforma requerida para la publicación del video).
Otros Recursos: Recursos audiovisuales (videos y presentaciones).</t>
  </si>
  <si>
    <t>Se solicta a los estudiantes enfocarse en resolver problemas comunicativos comunes en el contexto tecnológico, como el uso excesivo de jerga técnica, la ambigüedad en requerimientos y los estilos de comunicación inadecuados. Estas deficiencias provocan malentendidos, conflictos y bajo rendimiento en proyectos académicos. El objetivo es que los estudiantes analicen una situación problemática realista y propongan una solución aplicando los fundamentos del proceso comunicativo y la comunicación asertiva.
El grupo debe construir un caso con un conflicto comunicativo, representarlo en un video de tres momentos (escena inicial con errores, análisis reflexivo y escena mejorada aplicando asertividad), y elaborar un informe formal estructurado. La meta es fortalecer las habilidades comunicativas, el respeto y la responsabilidad comunicativa, esenciales para el trabajo en equipos tecnológicos profesionales.</t>
  </si>
  <si>
    <t>3. Tercera Practica</t>
  </si>
  <si>
    <t>4. Cuarta Practica</t>
  </si>
  <si>
    <t>5. Quinta Practica</t>
  </si>
  <si>
    <t>6. Sexta Practica</t>
  </si>
  <si>
    <t>Codigo-Nombre</t>
  </si>
  <si>
    <t>Competencias</t>
  </si>
  <si>
    <t>17 - Área Social Humanística 1</t>
  </si>
  <si>
    <t>7. Septima Practica</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</si>
  <si>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</si>
  <si>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</si>
  <si>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101 - Área Matemática Básica 1</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</si>
  <si>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</si>
  <si>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</si>
  <si>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</si>
  <si>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La sumatoria de los puntos de los practicas debe no debe super el  10% de la nota</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</si>
  <si>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</si>
  <si>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</si>
  <si>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Tarea de fortalecimiento académico</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</si>
  <si>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</si>
  <si>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</si>
  <si>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</si>
  <si>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</si>
  <si>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Obligatoria se debe dejar en la sesion de diagnistico</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</si>
  <si>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</si>
  <si>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</si>
  <si>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</si>
  <si>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</si>
  <si>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</si>
  <si>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</si>
  <si>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</si>
  <si>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</si>
  <si>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</si>
  <si>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</si>
  <si>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</si>
  <si>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</si>
  <si>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</si>
  <si>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</si>
  <si>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</si>
  <si>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</si>
  <si>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</si>
  <si>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</si>
  <si>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</si>
  <si>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Fortalecimiento de Habilidades de Comunicación Asertiva y Escucha Activa</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</si>
  <si>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</si>
  <si>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</si>
  <si>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</si>
  <si>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</si>
  <si>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</si>
  <si>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</si>
  <si>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</si>
  <si>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</si>
  <si>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</si>
  <si>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</si>
  <si>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Google Docs o Microsoft Word para la redacción del análisis.
Google Meet o Zoom para la simulación de interacción comunicativa.</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</si>
  <si>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</si>
  <si>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</si>
  <si>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</si>
  <si>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</si>
  <si>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</si>
  <si>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</si>
  <si>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</si>
  <si>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</si>
  <si>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</si>
  <si>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</si>
  <si>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</si>
  <si>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</si>
  <si>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</si>
  <si>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Que conocimientos base y competencias esenciales se deben reforzar que permitan al estudiante afrontar con mayor solidez los contenidos del curso</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</si>
  <si>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</si>
  <si>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</si>
  <si>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</si>
  <si>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</si>
  <si>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</si>
  <si>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</si>
  <si>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</si>
  <si>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</si>
  <si>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</si>
  <si>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</si>
  <si>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Se reforzarán los conceptos fundamentales del proceso comunicativo, incluyendo emisor, mensaje, canal y retroalimentación, así como la identificación de barreras de comunicación.
También se fortalecerán habilidades de comunicación asertiva, escucha activa y manejo de mensajes en contextos académicos, permitiendo al estudiante mejorar la claridad, interpretación y respuesta en situaciones reales.</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</si>
  <si>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</si>
  <si>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</si>
  <si>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</si>
  <si>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</si>
  <si>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</si>
  <si>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</si>
  <si>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</si>
  <si>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</si>
  <si>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</si>
  <si>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</si>
  <si>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</si>
  <si>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</si>
  <si>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</si>
  <si>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</si>
  <si>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</si>
  <si>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</si>
  <si>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</si>
  <si>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</si>
  <si>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</si>
  <si>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</si>
  <si>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</si>
  <si>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</si>
  <si>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</si>
  <si>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</si>
  <si>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</si>
  <si>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</si>
  <si>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</si>
  <si>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</si>
  <si>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</si>
  <si>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</si>
  <si>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1. Primera Tarea</t>
  </si>
  <si>
    <t>Análisis y Propuesta de Solución a un Conflicto en Equipos</t>
  </si>
  <si>
    <t>Google Docs o Microsoft Word para la redacción del análisis y propuesta.
Google Meet o Zoom para la simulación de la interacción del equipo.</t>
  </si>
  <si>
    <t>Los estudiantes deberán analizar un conflicto ficticio dentro de un equipo de trabajo (académico o de desarrollo).
A partir del caso, deberán identificar las causas del conflicto, analizar las diferentes perspectivas de los involucrados y proponer una solución basada en principios de comunicación asertiva.
El trabajo deberá incluir:
Identificación del problema
Análisis de barreras de comunicación
Aplicación de escucha activa
Propuesta de solución clara y estructurada
Finalmente, los estudiantes deberán presentar su propuesta, demostrando claridad en la comunicación, respeto en el mensaje y capacidad de generar soluciones colaborativas.</t>
  </si>
  <si>
    <t>2. Segunda Tarea</t>
  </si>
  <si>
    <t>3. Tercera Tarea</t>
  </si>
  <si>
    <t>Análisis de la Comunicación: Elementos, Funciones y Barreras</t>
  </si>
  <si>
    <t>Editor de texto</t>
  </si>
  <si>
    <t xml:space="preserve">1. Selección de un Escenario
El estudiante deberá elegir o crear una situación comunicativa compleja. Puede ser un entorno laboral (como una reunión técnica), académico (una clase especializada) o cotidiano (una consulta médica).
2. Identificación de los Elementos de la Comunicación
Debe desglosar los ocho elementos fundamentales presentes en su escenario elegido:
• Emisor: Quién genera y transmite el mensaje.
• Receptor: Quién recibe e interpreta la información.
• Mensaje: El contenido o información transmitida.
• Canal: El medio físico (teléfono, aire, correo, etc.).
• Código: El sistema de signos usado (idioma, jerga, señas).
• Ruido: Cualquier interferencia que afecte la comprensión.
• Retroalimentación: La respuesta o reacción del receptor.
• Contexto: Las circunstancias emocionales, sociales y ambientales del acto.
3. Análisis de las Funciones del Lenguaje
Debe identificar al menos dos funciones del lenguaje que predominen en el intercambio y explicar por qué, utilizando ejemplos del diálogo o texto del escenario:
• Referencial: Si se transmite información objetiva sobre la realidad.
• Emotiva: Si se expresan sentimientos o estados de ánimo.
• Fática: Si se busca verificar que el canal funciona (ej: "¿me escuchas?").
• Metalingüística: Si se explica el significado de una palabra o el código mismo.
4. Identificación de Barreras
El estudiante debe señalar al menos dos barreras que dificulten la comunicación en su ejemplo. Debe clasificarlas según los tipos vistos en las fuentes:
• Semánticas: Malentendidos por el significado de las palabras o uso de jerga.
• Psicológicas: Estados emocionales, prejuicios o falta de atención.
• Fisiológicas: Alteraciones físicas del emisor o receptor (sordera, resfriado, etc.).
• Físicas: Interferencias del entorno como ruido ambiental o fallas tecnológicas.
5. Propuesta de Mitigación
Para resolver las barreras identificadas, el estudiante debe entregar una de las siguientes herramientas de apoyo:
• Un Glosario: Si la barrera es semántica (jerga técnica), debe definir al menos 5 términos complejos usados en el escenario para facilitar la comprensión del receptor.
</t>
  </si>
  <si>
    <t>4. Cuarta Tarea</t>
  </si>
  <si>
    <t>Elevator Pitch: Propuesta de Innovación Tecnológica</t>
  </si>
  <si>
    <t>Camara
Youtube como plataforma de publicación</t>
  </si>
  <si>
    <t xml:space="preserve">Los estudiantes deberán diseñar un pitch de 3 minutos en el que presenten de manera persuasiva una propuesta de innovación tecnológica en el campo de la ingeniería de sistemas (tecnología, framework en auge o de moda). El pitch debe ser claro, estructurado, y demostrar cómo la propuesta resuelve un problema específico. Además, deberán aplicar principios de comunicación asertiva para mantener el respeto hacia diferentes puntos de vista posibles preguntas o comentarios
</t>
  </si>
  <si>
    <t>5. Quinta Tarea</t>
  </si>
  <si>
    <t>Gestión de la Comunicación Técnica en Proyectos</t>
  </si>
  <si>
    <t>GitHub Gist
MarkDown</t>
  </si>
  <si>
    <t xml:space="preserve">La actividad se desarrollará en grupos
Instrucciones generales
El trabajo debe desarrollarse utilizando GitHub Gist y Markdown.
Cada grupo tendrá un Gist base que servirá como documento principal del trabajo.
El flujo de trabajo será el siguiente:
Un integrante del equipo crea el Gist original con la plantilla del documento.
Cada integrante del equipo debe realizar un Fork del Gist del compañero con los últimos cambios.
Cada estudiante realizará sus propios cambios y aportes en su fork.
Los cambios se irán integrando progresivamente.
El grupo debe entregar el enlace al último fork final, donde se vea el historial de cambios y las contribuciones de todos los integrantes.
Es importante que el historial del Gist muestre contribuciones de todos los miembros del equipo.
El Gist debe incluir:
títulos
subtítulos
tablas
listas
secciones claras
imagen (imagen de internet relacionada a la situación)
Deben plantear una situación
Parte 1: Traducción técnica
Los estudiantes deberán explicar al cliente tres conceptos técnicos utilizando metáforas o ejemplos simples.
Conceptos a explicar:
Base de datos
Servidor
Sistema en la nube
Ejemplo de formato:
Concepto técnico
Explicación técnica
Explicación para cliente (metáfora)
Base de datos
Explicación
Explicación
Parte 2: Elevator pitch técnico → negocio
Cada equipo debe transcribir un elevator pitch de máximo 60 segundos explicando la solución.
Debe incluir:
Problema del cliente
Solución propuesta
Beneficio para el negocio
Parte 3: Simulación de reunión de requisitos
Se recomienda que un estudiante actúe como cliente y los demás como equipo técnico.
Los estudiantes deberán redactar al menos 10 preguntas clave con sus respectivas respuestas de la siguientes áreas:
Sobre el negocio
Sobre funcionalidades
Sobre operación
Parte 4: Escritura profesional (correo al cliente)
Cada equipo debe redactar un correo profesional  con todas sus partes confirmando la reunión.
El correo debe incluir:
saludo formal
resumen de requisitos
confirmación de información
próximos pasos
Parte 5: Post-mortem del proyecto
Deben suponer un problema y redactarlo:
Situación:
     Descripción de la situación
Los estudiantes deben escribir un post-mortem breve con:
Qué ocurrió
Impacto
Causa del problema
Solución
Medidas para evitar que vuelva a ocurrir
</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</si>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</sst>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color rgb="FFFFFFFF"/>
      <name val="Arial"/>
    </font>
    <font>
      <b/>
      <sz val="12.0"/>
      <color rgb="FFFBBC04"/>
      <name val="Arial"/>
    </font>
    <font>
      <b/>
      <sz val="12.0"/>
      <color rgb="FFFF6D01"/>
      <name val="Arial"/>
    </font>
    <font>
      <b/>
      <sz val="12.0"/>
      <color theme="8"/>
      <name val="Arial"/>
    </font>
    <font>
      <b/>
      <color theme="1"/>
      <name val="Arial"/>
    </font>
    <font>
      <color rgb="FFB7B7B7"/>
      <name val="Arial"/>
    </font>
    <font>
      <sz val="12.0"/>
      <color rgb="FFB7B7B7"/>
      <name val="Arial"/>
    </font>
    <font>
      <b/>
      <sz val="11.0"/>
      <color theme="1"/>
      <name val="Arial"/>
    </font>
    <font>
      <b/>
      <sz val="12.0"/>
      <color theme="1"/>
      <name val="Arial"/>
    </font>
    <font/>
    <font>
      <sz val="12.0"/>
      <color rgb="FF404040"/>
      <name val="Inter"/>
    </font>
    <font>
      <color theme="1"/>
      <name val="Arial"/>
      <scheme val="minor"/>
    </font>
    <font>
      <sz val="12.0"/>
      <color theme="1"/>
      <name val="Arial"/>
    </font>
    <font>
      <color rgb="FFFF0000"/>
      <name val="Arial"/>
      <scheme val="minor"/>
    </font>
    <font>
      <b/>
      <sz val="13.0"/>
      <color theme="4"/>
      <name val="Arial"/>
    </font>
    <font>
      <b/>
      <sz val="12.0"/>
      <color theme="4"/>
      <name val="Arial"/>
    </font>
    <font>
      <color rgb="FF999999"/>
      <name val="Arial"/>
    </font>
    <font>
      <b/>
      <sz val="13.0"/>
      <color rgb="FF4285F4"/>
      <name val="Arial"/>
    </font>
    <font>
      <u/>
      <color rgb="FF0000FF"/>
      <name val="Arial"/>
    </font>
    <font>
      <sz val="11.0"/>
      <color theme="1"/>
      <name val="Arial"/>
    </font>
    <font>
      <b/>
      <sz val="12.0"/>
      <color rgb="FF4285F4"/>
      <name val="Arial"/>
    </font>
    <font>
      <u/>
      <color rgb="FFFFFFFF"/>
      <name val="Arial"/>
    </font>
    <font>
      <b/>
      <sz val="12.0"/>
      <color rgb="FFFFFFFF"/>
      <name val="Arial"/>
    </font>
    <font>
      <color rgb="FFCCCCCC"/>
      <name val="Arial"/>
    </font>
    <font>
      <color rgb="FFD9D9D9"/>
      <name val="Arial"/>
    </font>
    <font>
      <sz val="12.0"/>
      <color rgb="FF000000"/>
      <name val="Arial"/>
    </font>
  </fonts>
  <fills count="2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EAD1DC"/>
        <bgColor rgb="FFEAD1DC"/>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
      <patternFill patternType="solid">
        <fgColor theme="0"/>
        <bgColor theme="0"/>
      </patternFill>
    </fill>
  </fills>
  <borders count="25">
    <border/>
    <border>
      <left style="double">
        <color rgb="FF434343"/>
      </left>
      <right style="double">
        <color rgb="FF434343"/>
      </right>
      <top style="double">
        <color rgb="FF434343"/>
      </top>
      <bottom style="double">
        <color rgb="FF434343"/>
      </bottom>
    </border>
    <border>
      <left style="thin">
        <color rgb="FF000000"/>
      </left>
      <right style="thin">
        <color rgb="FF000000"/>
      </right>
      <top style="thin">
        <color rgb="FF000000"/>
      </top>
      <bottom style="thin">
        <color rgb="FF000000"/>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wrapText="1"/>
    </xf>
    <xf borderId="0" fillId="0" fontId="2" numFmtId="0" xfId="0" applyFont="1"/>
    <xf borderId="0" fillId="0" fontId="3" numFmtId="0" xfId="0" applyAlignment="1" applyFont="1">
      <alignment horizontal="center" vertical="bottom"/>
    </xf>
    <xf borderId="0" fillId="0" fontId="4" numFmtId="0" xfId="0" applyFont="1"/>
    <xf borderId="0" fillId="0" fontId="5" numFmtId="0" xfId="0" applyFont="1"/>
    <xf borderId="0" fillId="0" fontId="6" numFmtId="0" xfId="0" applyFont="1"/>
    <xf borderId="0" fillId="0" fontId="6" numFmtId="0" xfId="0" applyAlignment="1" applyFont="1">
      <alignment readingOrder="0"/>
    </xf>
    <xf borderId="0" fillId="0" fontId="6" numFmtId="0" xfId="0" applyAlignment="1" applyFont="1">
      <alignment shrinkToFit="0" wrapText="1"/>
    </xf>
    <xf borderId="0" fillId="0" fontId="1" numFmtId="0" xfId="0" applyFont="1"/>
    <xf borderId="0" fillId="0" fontId="7" numFmtId="0" xfId="0" applyFont="1"/>
    <xf borderId="0" fillId="0" fontId="8" numFmtId="0" xfId="0" applyAlignment="1" applyFont="1">
      <alignment shrinkToFit="0" wrapText="1"/>
    </xf>
    <xf borderId="0" fillId="0" fontId="9" numFmtId="0" xfId="0" applyAlignment="1" applyFont="1">
      <alignment vertical="bottom"/>
    </xf>
    <xf borderId="1" fillId="2" fontId="10" numFmtId="0" xfId="0" applyAlignment="1" applyBorder="1" applyFill="1" applyFont="1">
      <alignment shrinkToFit="0" vertical="bottom" wrapText="1"/>
    </xf>
    <xf borderId="2" fillId="0" fontId="9" numFmtId="0" xfId="0" applyAlignment="1" applyBorder="1" applyFont="1">
      <alignment vertical="bottom"/>
    </xf>
    <xf borderId="2" fillId="0" fontId="9" numFmtId="0" xfId="0" applyAlignment="1" applyBorder="1" applyFont="1">
      <alignment shrinkToFit="0" vertical="bottom" wrapText="1"/>
    </xf>
    <xf borderId="3" fillId="2" fontId="10" numFmtId="0" xfId="0" applyAlignment="1" applyBorder="1" applyFill="1" applyFont="1">
      <alignment shrinkToFit="0" vertical="bottom" wrapText="1"/>
    </xf>
    <xf borderId="4" fillId="0" fontId="11" numFmtId="0" xfId="0" applyBorder="1" applyFont="1"/>
    <xf borderId="5" fillId="0" fontId="11" numFmtId="0" xfId="0" applyBorder="1" applyFont="1"/>
    <xf borderId="0" fillId="3" fontId="1" numFmtId="0" xfId="0" applyAlignment="1" applyFill="1" applyFont="1">
      <alignment shrinkToFit="0" vertical="bottom" wrapText="1"/>
    </xf>
    <xf borderId="0" fillId="0" fontId="1" numFmtId="0" xfId="0" applyAlignment="1" applyFont="1">
      <alignment readingOrder="0" shrinkToFit="0" wrapText="1"/>
    </xf>
    <xf borderId="6" fillId="4" fontId="12" numFmtId="0" xfId="0" applyAlignment="1" applyBorder="1" applyFill="1" applyFont="1">
      <alignment horizontal="center" shrinkToFit="0" vertical="bottom" wrapText="1"/>
    </xf>
    <xf borderId="2" fillId="0" fontId="6" numFmtId="0" xfId="0" applyBorder="1" applyFont="1"/>
    <xf borderId="0" fillId="0" fontId="13" numFmtId="0" xfId="0" applyAlignment="1" applyFont="1">
      <alignment readingOrder="0"/>
    </xf>
    <xf borderId="1" fillId="0" fontId="14" numFmtId="0" xfId="0" applyAlignment="1" applyBorder="1" applyFont="1">
      <alignment shrinkToFit="0" vertical="bottom" wrapText="1"/>
    </xf>
    <xf borderId="7" fillId="0" fontId="11" numFmtId="0" xfId="0" applyBorder="1" applyFont="1"/>
    <xf borderId="0" fillId="0" fontId="1" numFmtId="0" xfId="0" applyAlignment="1" applyFont="1">
      <alignment horizontal="right" shrinkToFit="0" vertical="bottom" wrapText="1"/>
    </xf>
    <xf borderId="1" fillId="0" fontId="1" numFmtId="0" xfId="0" applyAlignment="1" applyBorder="1" applyFont="1">
      <alignment horizontal="right" readingOrder="0" vertical="bottom"/>
    </xf>
    <xf borderId="8" fillId="0" fontId="11" numFmtId="0" xfId="0" applyBorder="1" applyFont="1"/>
    <xf borderId="0" fillId="0" fontId="1" numFmtId="0" xfId="0" applyAlignment="1" applyFont="1">
      <alignment vertical="bottom"/>
    </xf>
    <xf borderId="0" fillId="0" fontId="1" numFmtId="0" xfId="0" applyAlignment="1" applyFont="1">
      <alignment horizontal="right" shrinkToFit="0" vertical="bottom" wrapText="1"/>
    </xf>
    <xf borderId="6" fillId="0" fontId="1" numFmtId="0" xfId="0" applyBorder="1" applyFont="1"/>
    <xf borderId="2" fillId="5" fontId="12" numFmtId="0" xfId="0" applyAlignment="1" applyBorder="1" applyFill="1" applyFont="1">
      <alignment horizontal="center" shrinkToFit="0" vertical="bottom" wrapText="1"/>
    </xf>
    <xf borderId="0" fillId="0" fontId="1" numFmtId="0" xfId="0" applyAlignment="1" applyFont="1">
      <alignment shrinkToFit="0" vertical="bottom" wrapText="1"/>
    </xf>
    <xf borderId="2" fillId="0" fontId="1" numFmtId="0" xfId="0" applyBorder="1" applyFont="1"/>
    <xf borderId="1" fillId="0" fontId="1" numFmtId="0" xfId="0" applyAlignment="1" applyBorder="1" applyFont="1">
      <alignment vertical="bottom"/>
    </xf>
    <xf borderId="6" fillId="0" fontId="1" numFmtId="0" xfId="0" applyAlignment="1" applyBorder="1" applyFont="1">
      <alignment vertical="bottom"/>
    </xf>
    <xf borderId="3" fillId="0" fontId="1" numFmtId="0" xfId="0" applyAlignment="1" applyBorder="1" applyFont="1">
      <alignment vertical="bottom"/>
    </xf>
    <xf borderId="0" fillId="5" fontId="1" numFmtId="0" xfId="0" applyAlignment="1" applyFill="1" applyFont="1">
      <alignment vertical="bottom"/>
    </xf>
    <xf borderId="0" fillId="3" fontId="1" numFmtId="0" xfId="0" applyAlignment="1" applyFill="1" applyFont="1">
      <alignment horizontal="right" readingOrder="0" vertical="bottom"/>
    </xf>
    <xf borderId="0" fillId="0" fontId="15" numFmtId="0" xfId="0" applyAlignment="1" applyFont="1">
      <alignment readingOrder="0"/>
    </xf>
    <xf borderId="1" fillId="0" fontId="14" numFmtId="0" xfId="0" applyAlignment="1" applyBorder="1" applyFont="1">
      <alignment vertical="bottom"/>
    </xf>
    <xf borderId="2" fillId="5" fontId="12" numFmtId="0" xfId="0" applyAlignment="1" applyBorder="1" applyFill="1" applyFont="1">
      <alignment horizontal="center" vertical="bottom"/>
    </xf>
    <xf borderId="0" fillId="3" fontId="1" numFmtId="0" xfId="0" applyAlignment="1" applyFill="1" applyFont="1">
      <alignment horizontal="right" vertical="bottom"/>
    </xf>
    <xf borderId="9" fillId="0" fontId="14" numFmtId="0" xfId="0" applyAlignment="1" applyBorder="1" applyFont="1">
      <alignment vertical="bottom"/>
    </xf>
    <xf borderId="2" fillId="0" fontId="14" numFmtId="0" xfId="0" applyAlignment="1" applyBorder="1" applyFont="1">
      <alignment horizontal="center" vertical="bottom"/>
    </xf>
    <xf borderId="0" fillId="0" fontId="1" numFmtId="0" xfId="0" applyAlignment="1" applyFont="1">
      <alignment horizontal="center" shrinkToFit="0" vertical="center" wrapText="1"/>
    </xf>
    <xf borderId="9" fillId="0" fontId="1" numFmtId="0" xfId="0" applyAlignment="1" applyBorder="1" applyFont="1">
      <alignment horizontal="right" readingOrder="0" vertical="bottom"/>
    </xf>
    <xf borderId="0" fillId="0" fontId="16" numFmtId="0" xfId="0" applyFont="1"/>
    <xf borderId="0" fillId="0" fontId="17" numFmtId="0" xfId="0" applyAlignment="1" applyFont="1">
      <alignment shrinkToFit="0" wrapText="1"/>
    </xf>
    <xf borderId="10" fillId="0" fontId="1" numFmtId="0" xfId="0" applyAlignment="1" applyBorder="1" applyFont="1">
      <alignment vertical="bottom"/>
    </xf>
    <xf borderId="11" fillId="0" fontId="11" numFmtId="0" xfId="0" applyBorder="1" applyFont="1"/>
    <xf borderId="0" fillId="6" fontId="2" numFmtId="0" xfId="0" applyFill="1" applyFont="1"/>
    <xf borderId="12" fillId="0" fontId="11" numFmtId="0" xfId="0" applyBorder="1" applyFont="1"/>
    <xf borderId="2" fillId="7" fontId="10" numFmtId="0" xfId="0" applyAlignment="1" applyBorder="1" applyFill="1" applyFont="1">
      <alignment shrinkToFit="0" vertical="bottom" wrapText="1"/>
    </xf>
    <xf borderId="0" fillId="0" fontId="18" numFmtId="0" xfId="0" applyFont="1"/>
    <xf borderId="2" fillId="7" fontId="1" numFmtId="0" xfId="0" applyAlignment="1" applyBorder="1" applyFill="1" applyFont="1">
      <alignment shrinkToFit="0" vertical="bottom" wrapText="1"/>
    </xf>
    <xf borderId="2" fillId="7" fontId="1" numFmtId="0" xfId="0" applyAlignment="1" applyBorder="1" applyFill="1" applyFont="1">
      <alignment horizontal="right" vertical="bottom"/>
    </xf>
    <xf borderId="6" fillId="0" fontId="1" numFmtId="0" xfId="0" applyAlignment="1" applyBorder="1" applyFont="1">
      <alignment shrinkToFit="0" vertical="bottom" wrapText="1"/>
    </xf>
    <xf borderId="13" fillId="8" fontId="10" numFmtId="0" xfId="0" applyAlignment="1" applyBorder="1" applyFill="1" applyFont="1">
      <alignment shrinkToFit="0" vertical="bottom" wrapText="1"/>
    </xf>
    <xf borderId="2" fillId="7" fontId="1" numFmtId="0" xfId="0" applyAlignment="1" applyBorder="1" applyFill="1" applyFont="1">
      <alignment shrinkToFit="0" wrapText="1"/>
    </xf>
    <xf borderId="2" fillId="9" fontId="9" numFmtId="0" xfId="0" applyAlignment="1" applyBorder="1" applyFill="1" applyFont="1">
      <alignment horizontal="center" vertical="bottom"/>
    </xf>
    <xf borderId="6" fillId="9" fontId="9" numFmtId="0" xfId="0" applyAlignment="1" applyBorder="1" applyFill="1" applyFont="1">
      <alignment horizontal="center" vertical="bottom"/>
    </xf>
    <xf borderId="2" fillId="9" fontId="9" numFmtId="0" xfId="0" applyAlignment="1" applyBorder="1" applyFill="1" applyFont="1">
      <alignment horizontal="center" shrinkToFit="0" vertical="bottom" wrapText="1"/>
    </xf>
    <xf borderId="2" fillId="7" fontId="1" numFmtId="0" xfId="0" applyBorder="1" applyFill="1" applyFont="1"/>
    <xf borderId="6" fillId="9" fontId="9" numFmtId="0" xfId="0" applyAlignment="1" applyBorder="1" applyFill="1" applyFont="1">
      <alignment horizontal="center" shrinkToFit="0" vertical="bottom" wrapText="1"/>
    </xf>
    <xf borderId="6" fillId="0" fontId="1" numFmtId="0" xfId="0" applyAlignment="1" applyBorder="1" applyFont="1">
      <alignment horizontal="right" vertical="bottom"/>
    </xf>
    <xf borderId="14" fillId="8" fontId="1" numFmtId="0" xfId="0" applyAlignment="1" applyBorder="1" applyFill="1" applyFont="1">
      <alignment shrinkToFit="0" vertical="bottom" wrapText="1"/>
    </xf>
    <xf borderId="15" fillId="0" fontId="11" numFmtId="0" xfId="0" applyBorder="1" applyFont="1"/>
    <xf borderId="2" fillId="0" fontId="1" numFmtId="0" xfId="0" applyAlignment="1" applyBorder="1" applyFont="1">
      <alignment horizontal="right" vertical="bottom"/>
    </xf>
    <xf borderId="16" fillId="0" fontId="11" numFmtId="0" xfId="0" applyBorder="1" applyFont="1"/>
    <xf borderId="0" fillId="0" fontId="19" numFmtId="0" xfId="0" applyFont="1"/>
    <xf borderId="2" fillId="10" fontId="1" numFmtId="0" xfId="0" applyAlignment="1" applyBorder="1" applyFill="1" applyFont="1">
      <alignment readingOrder="0" vertical="bottom"/>
    </xf>
    <xf borderId="6" fillId="11" fontId="1" numFmtId="0" xfId="0" applyAlignment="1" applyBorder="1" applyFill="1" applyFont="1">
      <alignment readingOrder="0" vertical="bottom"/>
    </xf>
    <xf borderId="2" fillId="12" fontId="1" numFmtId="0" xfId="0" applyAlignment="1" applyBorder="1" applyFill="1" applyFont="1">
      <alignment readingOrder="0" vertical="bottom"/>
    </xf>
    <xf borderId="6" fillId="13" fontId="1" numFmtId="0" xfId="0" applyAlignment="1" applyBorder="1" applyFill="1" applyFont="1">
      <alignment readingOrder="0" vertical="bottom"/>
    </xf>
    <xf borderId="2" fillId="14" fontId="1" numFmtId="0" xfId="0" applyAlignment="1" applyBorder="1" applyFill="1" applyFont="1">
      <alignment readingOrder="0" vertical="bottom"/>
    </xf>
    <xf borderId="2" fillId="5" fontId="1" numFmtId="0" xfId="0" applyAlignment="1" applyBorder="1" applyFill="1" applyFont="1">
      <alignment vertical="bottom"/>
    </xf>
    <xf borderId="6" fillId="0" fontId="20" numFmtId="0" xfId="0" applyAlignment="1" applyBorder="1" applyFont="1">
      <alignment readingOrder="0" vertical="bottom"/>
    </xf>
    <xf borderId="6" fillId="15" fontId="21" numFmtId="0" xfId="0" applyAlignment="1" applyBorder="1" applyFill="1" applyFont="1">
      <alignment horizontal="center" shrinkToFit="0" vertical="bottom" wrapText="1"/>
    </xf>
    <xf borderId="6" fillId="0" fontId="1" numFmtId="0" xfId="0" applyAlignment="1" applyBorder="1" applyFont="1">
      <alignment readingOrder="0" vertical="bottom"/>
    </xf>
    <xf borderId="0" fillId="0" fontId="22" numFmtId="0" xfId="0" applyAlignment="1" applyFont="1">
      <alignment shrinkToFit="0" wrapText="1"/>
    </xf>
    <xf borderId="6" fillId="0" fontId="1" numFmtId="0" xfId="0" applyAlignment="1" applyBorder="1" applyFont="1">
      <alignment readingOrder="0"/>
    </xf>
    <xf borderId="0" fillId="0" fontId="1" numFmtId="0" xfId="0" applyAlignment="1" applyFont="1">
      <alignment horizontal="right" readingOrder="0" shrinkToFit="0" vertical="bottom" wrapText="1"/>
    </xf>
    <xf borderId="2" fillId="0" fontId="9" numFmtId="0" xfId="0" applyAlignment="1" applyBorder="1" applyFont="1">
      <alignment readingOrder="0" vertical="bottom"/>
    </xf>
    <xf borderId="0" fillId="6" fontId="23" numFmtId="0" xfId="0" applyFill="1" applyFont="1"/>
    <xf borderId="6" fillId="3" fontId="1" numFmtId="0" xfId="0" applyAlignment="1" applyBorder="1" applyFill="1" applyFont="1">
      <alignment vertical="bottom"/>
    </xf>
    <xf borderId="17" fillId="0" fontId="1" numFmtId="0" xfId="0" applyAlignment="1" applyBorder="1" applyFont="1">
      <alignment vertical="bottom"/>
    </xf>
    <xf borderId="18" fillId="0" fontId="11" numFmtId="0" xfId="0" applyBorder="1" applyFont="1"/>
    <xf borderId="19" fillId="0" fontId="11" numFmtId="0" xfId="0" applyBorder="1" applyFont="1"/>
    <xf borderId="20" fillId="0" fontId="11" numFmtId="0" xfId="0" applyBorder="1" applyFont="1"/>
    <xf borderId="21" fillId="0" fontId="11" numFmtId="0" xfId="0" applyBorder="1" applyFont="1"/>
    <xf borderId="22" fillId="0" fontId="11" numFmtId="0" xfId="0" applyBorder="1" applyFont="1"/>
    <xf borderId="6" fillId="15" fontId="1" numFmtId="0" xfId="0" applyAlignment="1" applyBorder="1" applyFill="1" applyFont="1">
      <alignment horizontal="center"/>
    </xf>
    <xf borderId="2" fillId="0" fontId="1" numFmtId="0" xfId="0" applyAlignment="1" applyBorder="1" applyFont="1">
      <alignment shrinkToFit="0" wrapText="1"/>
    </xf>
    <xf borderId="6" fillId="0" fontId="1" numFmtId="0" xfId="0" applyAlignment="1" applyBorder="1" applyFont="1">
      <alignment horizontal="center"/>
    </xf>
    <xf borderId="0" fillId="0" fontId="22" numFmtId="0" xfId="0" applyFont="1"/>
    <xf borderId="0" fillId="16" fontId="24" numFmtId="0" xfId="0" applyAlignment="1" applyFill="1" applyFont="1">
      <alignment readingOrder="0"/>
    </xf>
    <xf borderId="6" fillId="7" fontId="1" numFmtId="0" xfId="0" applyBorder="1" applyFill="1" applyFont="1"/>
    <xf borderId="17" fillId="0" fontId="1" numFmtId="0" xfId="0" applyAlignment="1" applyBorder="1" applyFont="1">
      <alignment readingOrder="0"/>
    </xf>
    <xf borderId="0" fillId="0" fontId="17" numFmtId="0" xfId="0" applyFont="1"/>
    <xf borderId="2" fillId="17" fontId="1" numFmtId="0" xfId="0" applyBorder="1" applyFill="1" applyFont="1"/>
    <xf borderId="6" fillId="17" fontId="1" numFmtId="0" xfId="0" applyBorder="1" applyFill="1" applyFont="1"/>
    <xf borderId="2" fillId="18" fontId="1" numFmtId="0" xfId="0" applyAlignment="1" applyBorder="1" applyFill="1" applyFont="1">
      <alignment shrinkToFit="0" wrapText="1"/>
    </xf>
    <xf borderId="6" fillId="18" fontId="1" numFmtId="0" xfId="0" applyBorder="1" applyFill="1" applyFont="1"/>
    <xf borderId="2" fillId="8" fontId="1" numFmtId="0" xfId="0" applyBorder="1" applyFill="1" applyFont="1"/>
    <xf borderId="0" fillId="16" fontId="24" numFmtId="0" xfId="0" applyFill="1" applyFont="1"/>
    <xf borderId="6" fillId="0" fontId="25" numFmtId="0" xfId="0" applyAlignment="1" applyBorder="1" applyFont="1">
      <alignment readingOrder="0"/>
    </xf>
    <xf borderId="0" fillId="0" fontId="25" numFmtId="0" xfId="0" applyFont="1"/>
    <xf borderId="23" fillId="0" fontId="11" numFmtId="0" xfId="0" applyBorder="1" applyFont="1"/>
    <xf borderId="24" fillId="0" fontId="11" numFmtId="0" xfId="0" applyBorder="1" applyFont="1"/>
    <xf borderId="6" fillId="0" fontId="25" numFmtId="0" xfId="0" applyBorder="1" applyFont="1"/>
    <xf borderId="17" fillId="0" fontId="1" numFmtId="0" xfId="0" applyAlignment="1" applyBorder="1" applyFont="1">
      <alignment shrinkToFit="0" vertical="bottom" wrapText="1"/>
    </xf>
    <xf borderId="0" fillId="0" fontId="26" numFmtId="0" xfId="0" applyFont="1"/>
    <xf borderId="17" fillId="0" fontId="1" numFmtId="0" xfId="0" applyBorder="1" applyFont="1"/>
    <xf borderId="21" fillId="0" fontId="13" numFmtId="0" xfId="0" applyAlignment="1" applyBorder="1" applyFont="1">
      <alignment readingOrder="0"/>
    </xf>
    <xf borderId="0" fillId="0" fontId="13" numFmtId="0" xfId="0" applyAlignment="1" applyFont="1">
      <alignment readingOrder="0" shrinkToFit="0" wrapText="1"/>
    </xf>
    <xf borderId="17" fillId="0" fontId="1" numFmtId="0" xfId="0" applyAlignment="1" applyBorder="1" applyFont="1">
      <alignment readingOrder="0" shrinkToFit="0" wrapText="1"/>
    </xf>
    <xf borderId="6" fillId="0" fontId="1" numFmtId="0" xfId="0" applyAlignment="1" applyBorder="1" applyFont="1">
      <alignment horizontal="right" readingOrder="0"/>
    </xf>
    <xf borderId="0" fillId="0" fontId="4" numFmtId="0" xfId="0" applyAlignment="1" applyFont="1">
      <alignment horizontal="center"/>
    </xf>
    <xf borderId="17" fillId="19" fontId="27" numFmtId="0" xfId="0" applyAlignment="1" applyBorder="1" applyFill="1" applyFont="1">
      <alignment readingOrder="0" shrinkToFit="0" wrapText="1"/>
    </xf>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7use-97wjmeYc0q0QAwJFfg7SXe-xX8s7zLMd40zwak/edit?usp=drive_link" TargetMode="External"/><Relationship Id="rId3" Type="http://schemas.openxmlformats.org/officeDocument/2006/relationships/hyperlink" Target="https://docs.google.com/forms/d/e/1FAIpQLSerNxaX7hEnrCBDakTEq76RiQAuh1lBoMVeFyyHEaUkvvZJpg/viewform?usp=publish-editor" TargetMode="External"/><Relationship Id="rId4" Type="http://schemas.openxmlformats.org/officeDocument/2006/relationships/hyperlink" Target="https://docs.google.com/document/d/17use-97wjmeYc0q0QAwJFfg7SXe-xX8s7zLMd40zwak/edit?usp=drive_link"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2"/>
    </row>
    <row r="2" ht="15.75" customHeight="1">
      <c r="A2" s="2"/>
      <c r="B2" s="5" t="s">
        <v>2</v>
      </c>
    </row>
    <row r="3" ht="15.75" customHeight="1">
      <c r="A3" s="2"/>
    </row>
    <row r="4" ht="15.75" customHeight="1">
      <c r="A4" s="2"/>
      <c r="B4" s="7" t="s">
        <v>3</v>
      </c>
      <c r="C4" s="8" t="s">
        <v>4</v>
      </c>
    </row>
    <row r="5">
      <c r="A5" s="2"/>
      <c r="B5" s="9" t="s">
        <v>7</v>
      </c>
      <c r="C5" s="10" t="s">
        <v>6</v>
      </c>
    </row>
    <row r="6">
      <c r="A6" s="2"/>
      <c r="B6" s="9" t="s">
        <v>8</v>
      </c>
    </row>
    <row r="7" ht="15.75" customHeight="1">
      <c r="A7" s="2"/>
    </row>
    <row r="8" ht="15.75" customHeight="1">
      <c r="A8" s="12" t="s">
        <v>9</v>
      </c>
    </row>
    <row r="9" ht="15.75" customHeight="1">
      <c r="A9" s="12" t="s">
        <v>10</v>
      </c>
    </row>
    <row r="10">
      <c r="A10" s="14" t="s">
        <v>12</v>
      </c>
      <c r="B10" s="14" t="s">
        <v>13</v>
      </c>
      <c r="C10" s="14" t="s">
        <v>14</v>
      </c>
      <c r="D10" s="17" t="s">
        <v>15</v>
      </c>
      <c r="E10" s="18"/>
      <c r="F10" s="19"/>
      <c r="G10" s="20" t="s">
        <v>23</v>
      </c>
    </row>
    <row r="11">
      <c r="A11" s="25" t="s">
        <v>28</v>
      </c>
      <c r="B11" s="28">
        <v>20.0</v>
      </c>
      <c r="C11" s="36">
        <f>S.2!C6+S.3!C6+S.4!C6+S.5!C6+S.6!C6+S.7!C6+S.8!C6+S.9!C6+S.10!C6+S.11!C6</f>
        <v>1074</v>
      </c>
      <c r="D11" s="38"/>
      <c r="E11" s="18"/>
      <c r="F11" s="19"/>
      <c r="G11" s="40">
        <v>20.0</v>
      </c>
      <c r="H11" s="41">
        <v>20.0</v>
      </c>
    </row>
    <row r="12" ht="15.75" customHeight="1">
      <c r="A12" s="42" t="s">
        <v>42</v>
      </c>
      <c r="B12" s="28">
        <v>50.0</v>
      </c>
      <c r="C12" s="36">
        <f>Proyectos!C5</f>
        <v>60</v>
      </c>
      <c r="D12" s="38"/>
      <c r="E12" s="18"/>
      <c r="F12" s="19"/>
      <c r="G12" s="40">
        <v>50.0</v>
      </c>
      <c r="H12" s="41">
        <v>50.0</v>
      </c>
    </row>
    <row r="13" ht="15.75" customHeight="1">
      <c r="A13" s="42" t="s">
        <v>48</v>
      </c>
      <c r="B13" s="28">
        <v>20.0</v>
      </c>
      <c r="C13" s="36">
        <f>Practicas!C5</f>
        <v>22</v>
      </c>
      <c r="D13" s="38"/>
      <c r="E13" s="18"/>
      <c r="F13" s="19"/>
      <c r="G13" s="44">
        <v>20.0</v>
      </c>
    </row>
    <row r="14" ht="15.75" customHeight="1">
      <c r="A14" s="45" t="s">
        <v>52</v>
      </c>
      <c r="B14" s="48">
        <v>10.0</v>
      </c>
      <c r="C14" s="36">
        <f>Tareas!C5</f>
        <v>12</v>
      </c>
      <c r="D14" s="51"/>
      <c r="E14" s="52"/>
      <c r="F14" s="54"/>
      <c r="G14" s="44">
        <v>10.0</v>
      </c>
    </row>
    <row r="15" ht="15.75" customHeight="1">
      <c r="A15" s="55" t="s">
        <v>64</v>
      </c>
      <c r="B15" s="58">
        <f t="shared" ref="B15:C15" si="1">SUM(B11:B14)</f>
        <v>100</v>
      </c>
      <c r="C15" s="58">
        <f t="shared" si="1"/>
        <v>1168</v>
      </c>
      <c r="D15" s="60" t="s">
        <v>67</v>
      </c>
      <c r="E15" s="68"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69"/>
      <c r="G15" s="71"/>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1"/>
      <c r="B1" s="4" t="s">
        <v>0</v>
      </c>
      <c r="Q1" s="1"/>
      <c r="R1" s="1"/>
      <c r="S1" s="1"/>
      <c r="T1" s="1"/>
      <c r="U1" s="1"/>
      <c r="V1" s="1"/>
      <c r="W1" s="1"/>
      <c r="X1" s="1"/>
      <c r="Y1" s="1"/>
      <c r="Z1" s="1"/>
    </row>
    <row r="2">
      <c r="A2" s="1"/>
      <c r="B2" s="7" t="s">
        <v>3</v>
      </c>
      <c r="C2" s="7"/>
      <c r="I2" s="1"/>
      <c r="J2" s="1"/>
      <c r="K2" s="1"/>
      <c r="L2" s="1"/>
      <c r="M2" s="1"/>
      <c r="N2" s="1"/>
      <c r="O2" s="1"/>
      <c r="P2" s="1"/>
      <c r="Q2" s="1"/>
      <c r="R2" s="1"/>
      <c r="S2" s="1"/>
      <c r="T2" s="1"/>
      <c r="U2" s="1"/>
      <c r="V2" s="1"/>
      <c r="W2" s="1"/>
      <c r="X2" s="1"/>
      <c r="Y2" s="1"/>
      <c r="Z2" s="1"/>
    </row>
    <row r="3">
      <c r="A3" s="1"/>
      <c r="B3" s="7" t="s">
        <v>7</v>
      </c>
      <c r="C3" s="10" t="s">
        <v>6</v>
      </c>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22" t="s">
        <v>22</v>
      </c>
      <c r="C5" s="26"/>
      <c r="D5" s="26"/>
      <c r="E5" s="26"/>
      <c r="F5" s="26"/>
      <c r="G5" s="29"/>
      <c r="H5" s="1"/>
      <c r="I5" s="22" t="s">
        <v>30</v>
      </c>
      <c r="J5" s="26"/>
      <c r="K5" s="26"/>
      <c r="L5" s="26"/>
      <c r="M5" s="26"/>
      <c r="N5" s="26"/>
      <c r="O5" s="26"/>
      <c r="P5" s="29"/>
      <c r="Q5" s="1"/>
      <c r="R5" s="1"/>
      <c r="S5" s="1"/>
      <c r="T5" s="1"/>
      <c r="U5" s="1"/>
      <c r="V5" s="1"/>
      <c r="W5" s="1"/>
      <c r="X5" s="1"/>
      <c r="Y5" s="1"/>
      <c r="Z5" s="1"/>
    </row>
    <row r="6">
      <c r="A6" s="1"/>
      <c r="B6" s="33">
        <v>1.0</v>
      </c>
      <c r="C6" s="37"/>
      <c r="D6" s="26"/>
      <c r="E6" s="26"/>
      <c r="F6" s="26"/>
      <c r="G6" s="29"/>
      <c r="H6" s="39"/>
      <c r="I6" s="33">
        <v>1.0</v>
      </c>
      <c r="J6" s="37"/>
      <c r="K6" s="26"/>
      <c r="L6" s="26"/>
      <c r="M6" s="26"/>
      <c r="N6" s="26"/>
      <c r="O6" s="26"/>
      <c r="P6" s="29"/>
      <c r="Q6" s="1"/>
      <c r="R6" s="1"/>
      <c r="S6" s="1"/>
      <c r="T6" s="1"/>
      <c r="U6" s="1"/>
      <c r="V6" s="1"/>
      <c r="W6" s="1"/>
      <c r="X6" s="1"/>
      <c r="Y6" s="1"/>
      <c r="Z6" s="1"/>
    </row>
    <row r="7">
      <c r="A7" s="1"/>
      <c r="B7" s="43">
        <v>2.0</v>
      </c>
      <c r="C7" s="37"/>
      <c r="D7" s="26"/>
      <c r="E7" s="26"/>
      <c r="F7" s="26"/>
      <c r="G7" s="29"/>
      <c r="H7" s="1"/>
      <c r="I7" s="46">
        <v>2.0</v>
      </c>
      <c r="J7" s="37"/>
      <c r="K7" s="26"/>
      <c r="L7" s="26"/>
      <c r="M7" s="26"/>
      <c r="N7" s="26"/>
      <c r="O7" s="26"/>
      <c r="P7" s="29"/>
      <c r="Q7" s="1"/>
      <c r="R7" s="1"/>
      <c r="S7" s="1"/>
      <c r="T7" s="1"/>
      <c r="U7" s="1"/>
      <c r="V7" s="1"/>
      <c r="W7" s="1"/>
      <c r="X7" s="1"/>
      <c r="Y7" s="1"/>
      <c r="Z7" s="1"/>
    </row>
    <row r="8">
      <c r="A8" s="1"/>
      <c r="B8" s="43">
        <v>3.0</v>
      </c>
      <c r="C8" s="37"/>
      <c r="D8" s="26"/>
      <c r="E8" s="26"/>
      <c r="F8" s="26"/>
      <c r="G8" s="29"/>
      <c r="H8" s="1"/>
      <c r="I8" s="46">
        <v>3.0</v>
      </c>
      <c r="J8" s="37"/>
      <c r="K8" s="26"/>
      <c r="L8" s="26"/>
      <c r="M8" s="26"/>
      <c r="N8" s="26"/>
      <c r="O8" s="26"/>
      <c r="P8" s="29"/>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62" t="s">
        <v>79</v>
      </c>
      <c r="C11" s="62" t="s">
        <v>81</v>
      </c>
      <c r="D11" s="62" t="s">
        <v>83</v>
      </c>
      <c r="E11" s="63" t="s">
        <v>84</v>
      </c>
      <c r="F11" s="29"/>
      <c r="G11" s="64" t="s">
        <v>89</v>
      </c>
      <c r="H11" s="66" t="s">
        <v>90</v>
      </c>
      <c r="I11" s="29"/>
      <c r="J11" s="62" t="s">
        <v>96</v>
      </c>
      <c r="K11" s="1"/>
      <c r="L11" s="1"/>
      <c r="M11" s="1"/>
      <c r="N11" s="1"/>
      <c r="O11" s="1"/>
      <c r="P11" s="1"/>
      <c r="Q11" s="1"/>
      <c r="R11" s="1"/>
      <c r="S11" s="1"/>
      <c r="T11" s="1"/>
      <c r="U11" s="1"/>
      <c r="V11" s="1"/>
      <c r="W11" s="1"/>
      <c r="X11" s="1"/>
      <c r="Y11" s="1"/>
      <c r="Z11" s="1"/>
    </row>
    <row r="12">
      <c r="A12" s="1"/>
      <c r="B12" s="70">
        <v>1.0</v>
      </c>
      <c r="C12" s="15" t="s">
        <v>103</v>
      </c>
      <c r="D12" s="73" t="s">
        <v>104</v>
      </c>
      <c r="E12" s="74" t="s">
        <v>107</v>
      </c>
      <c r="F12" s="29"/>
      <c r="G12" s="75" t="s">
        <v>113</v>
      </c>
      <c r="H12" s="76" t="s">
        <v>116</v>
      </c>
      <c r="I12" s="29"/>
      <c r="J12" s="77" t="s">
        <v>120</v>
      </c>
      <c r="K12" s="1"/>
      <c r="L12" s="1"/>
      <c r="M12" s="1"/>
      <c r="N12" s="1"/>
      <c r="O12" s="1"/>
      <c r="P12" s="1"/>
      <c r="Q12" s="1"/>
      <c r="R12" s="1"/>
      <c r="S12" s="1"/>
      <c r="T12" s="1"/>
      <c r="U12" s="1"/>
      <c r="V12" s="1"/>
      <c r="W12" s="1"/>
      <c r="X12" s="1"/>
      <c r="Y12" s="1"/>
      <c r="Z12" s="1"/>
    </row>
    <row r="13">
      <c r="A13" s="1"/>
      <c r="B13" s="78"/>
      <c r="C13" s="80" t="str">
        <f>D12 &amp; " " &amp; E12 &amp; " " &amp;G12&amp; " " &amp;H12&amp; " " </f>
        <v>Analiza principios de comunicación asertiva mediante técnicas verbales, no verbales y autoevaluación guiada para expresar ideas con claridad, respeto y seguridad en contextos académicos y laborales </v>
      </c>
      <c r="D13" s="26"/>
      <c r="E13" s="26"/>
      <c r="F13" s="26"/>
      <c r="G13" s="26"/>
      <c r="H13" s="26"/>
      <c r="I13" s="26"/>
      <c r="J13" s="29"/>
      <c r="K13" s="1"/>
      <c r="L13" s="1"/>
      <c r="M13" s="1"/>
      <c r="N13" s="1"/>
      <c r="O13" s="1"/>
      <c r="P13" s="1"/>
      <c r="Q13" s="1"/>
      <c r="R13" s="1"/>
      <c r="S13" s="1"/>
      <c r="T13" s="1"/>
      <c r="U13" s="1"/>
      <c r="V13" s="1"/>
      <c r="W13" s="1"/>
      <c r="X13" s="1"/>
      <c r="Y13" s="1"/>
      <c r="Z13" s="1"/>
    </row>
    <row r="14">
      <c r="A14" s="1"/>
      <c r="B14" s="70">
        <v>2.0</v>
      </c>
      <c r="C14" s="15" t="s">
        <v>103</v>
      </c>
      <c r="D14" s="73" t="s">
        <v>140</v>
      </c>
      <c r="E14" s="74" t="s">
        <v>141</v>
      </c>
      <c r="F14" s="29"/>
      <c r="G14" s="75" t="s">
        <v>144</v>
      </c>
      <c r="H14" s="76" t="s">
        <v>145</v>
      </c>
      <c r="I14" s="29"/>
      <c r="J14" s="77" t="s">
        <v>147</v>
      </c>
      <c r="K14" s="1"/>
      <c r="L14" s="1"/>
      <c r="M14" s="1"/>
      <c r="N14" s="1"/>
      <c r="O14" s="1"/>
      <c r="P14" s="1"/>
      <c r="Q14" s="1"/>
      <c r="R14" s="1"/>
      <c r="S14" s="1"/>
      <c r="T14" s="1"/>
      <c r="U14" s="1"/>
      <c r="V14" s="1"/>
      <c r="W14" s="1"/>
      <c r="X14" s="1"/>
      <c r="Y14" s="1"/>
      <c r="Z14" s="1"/>
    </row>
    <row r="15">
      <c r="A15" s="1"/>
      <c r="B15" s="78"/>
      <c r="C15" s="80" t="str">
        <f>D14 &amp; " " &amp; E14 &amp; " " &amp;G14&amp; " " &amp;H14&amp; " " </f>
        <v>Crea estrategias de comunicación efectiva utilizando técnicas de escucha activa y empatía para interpretar mensajes con precisión y responder adecuadamente </v>
      </c>
      <c r="D15" s="26"/>
      <c r="E15" s="26"/>
      <c r="F15" s="26"/>
      <c r="G15" s="26"/>
      <c r="H15" s="26"/>
      <c r="I15" s="26"/>
      <c r="J15" s="29"/>
      <c r="K15" s="1"/>
      <c r="L15" s="1"/>
      <c r="M15" s="1"/>
      <c r="N15" s="1"/>
      <c r="O15" s="1"/>
      <c r="P15" s="1"/>
      <c r="Q15" s="1"/>
      <c r="R15" s="1"/>
      <c r="S15" s="1"/>
      <c r="T15" s="1"/>
      <c r="U15" s="1"/>
      <c r="V15" s="1"/>
      <c r="W15" s="1"/>
      <c r="X15" s="1"/>
      <c r="Y15" s="1"/>
      <c r="Z15" s="1"/>
    </row>
    <row r="16">
      <c r="A16" s="1"/>
      <c r="B16" s="70">
        <v>3.0</v>
      </c>
      <c r="C16" s="15" t="s">
        <v>103</v>
      </c>
      <c r="D16" s="73" t="s">
        <v>166</v>
      </c>
      <c r="E16" s="74" t="s">
        <v>167</v>
      </c>
      <c r="F16" s="29"/>
      <c r="G16" s="75" t="s">
        <v>171</v>
      </c>
      <c r="H16" s="76" t="s">
        <v>172</v>
      </c>
      <c r="I16" s="29"/>
      <c r="J16" s="77" t="s">
        <v>174</v>
      </c>
      <c r="K16" s="1"/>
      <c r="L16" s="1"/>
      <c r="M16" s="1"/>
      <c r="N16" s="1"/>
      <c r="O16" s="1"/>
      <c r="P16" s="1"/>
      <c r="Q16" s="1"/>
      <c r="R16" s="1"/>
      <c r="S16" s="1"/>
      <c r="T16" s="1"/>
      <c r="U16" s="1"/>
      <c r="V16" s="1"/>
      <c r="W16" s="1"/>
      <c r="X16" s="1"/>
      <c r="Y16" s="1"/>
      <c r="Z16" s="1"/>
    </row>
    <row r="17">
      <c r="A17" s="1"/>
      <c r="B17" s="78"/>
      <c r="C17" s="80" t="str">
        <f>D16 &amp; " " &amp; E16 &amp; " " &amp;G16&amp; " " &amp;H16&amp; " " </f>
        <v>Implementa procesos de comunicación en equipos presenciales y virtuales empleando herramientas colaborativas, metodologías ágiles y técnicas de coordinación estructurada para colaborar eficazmente y resolver problemáticas comunes </v>
      </c>
      <c r="D17" s="26"/>
      <c r="E17" s="26"/>
      <c r="F17" s="26"/>
      <c r="G17" s="26"/>
      <c r="H17" s="26"/>
      <c r="I17" s="26"/>
      <c r="J17" s="29"/>
      <c r="K17" s="1"/>
      <c r="L17" s="1"/>
      <c r="M17" s="1"/>
      <c r="N17" s="1"/>
      <c r="O17" s="1"/>
      <c r="P17" s="1"/>
      <c r="Q17" s="1"/>
      <c r="R17" s="1"/>
      <c r="S17" s="1"/>
      <c r="T17" s="1"/>
      <c r="U17" s="1"/>
      <c r="V17" s="1"/>
      <c r="W17" s="1"/>
      <c r="X17" s="1"/>
      <c r="Y17" s="1"/>
      <c r="Z17" s="1"/>
    </row>
    <row r="18">
      <c r="A18" s="1"/>
      <c r="B18" s="70">
        <v>4.0</v>
      </c>
      <c r="C18" s="85" t="s">
        <v>191</v>
      </c>
      <c r="D18" s="73" t="s">
        <v>193</v>
      </c>
      <c r="E18" s="74" t="s">
        <v>195</v>
      </c>
      <c r="F18" s="29"/>
      <c r="G18" s="75" t="s">
        <v>196</v>
      </c>
      <c r="H18" s="76" t="s">
        <v>197</v>
      </c>
      <c r="I18" s="29"/>
      <c r="J18" s="77" t="s">
        <v>200</v>
      </c>
      <c r="K18" s="1"/>
      <c r="L18" s="1"/>
      <c r="M18" s="1"/>
      <c r="N18" s="1"/>
      <c r="O18" s="1"/>
      <c r="P18" s="1"/>
      <c r="Q18" s="1"/>
      <c r="R18" s="1"/>
      <c r="S18" s="1"/>
      <c r="T18" s="1"/>
      <c r="U18" s="1"/>
      <c r="V18" s="1"/>
      <c r="W18" s="1"/>
      <c r="X18" s="1"/>
      <c r="Y18" s="1"/>
      <c r="Z18" s="1"/>
    </row>
    <row r="19">
      <c r="A19" s="1"/>
      <c r="B19" s="78"/>
      <c r="C19" s="80" t="str">
        <f>D18 &amp; " " &amp; E18 &amp; " " &amp;G18&amp; " " &amp;H18&amp; " " </f>
        <v>Diseña mensajes persuasivos y presentaciones profesionales aplicando técnicas de argumentación, análisis de audiencia y estructuras discursivas para comunicar propuestas de manera clara, convincente y estructurada </v>
      </c>
      <c r="D19" s="26"/>
      <c r="E19" s="26"/>
      <c r="F19" s="26"/>
      <c r="G19" s="26"/>
      <c r="H19" s="26"/>
      <c r="I19" s="26"/>
      <c r="J19" s="29"/>
      <c r="K19" s="1"/>
      <c r="L19" s="1"/>
      <c r="M19" s="1"/>
      <c r="N19" s="1"/>
      <c r="O19" s="1"/>
      <c r="P19" s="1"/>
      <c r="Q19" s="1"/>
      <c r="R19" s="1"/>
      <c r="S19" s="1"/>
      <c r="T19" s="1"/>
      <c r="U19" s="1"/>
      <c r="V19" s="1"/>
      <c r="W19" s="1"/>
      <c r="X19" s="1"/>
      <c r="Y19" s="1"/>
      <c r="Z19" s="1"/>
    </row>
    <row r="20">
      <c r="A20" s="1"/>
      <c r="B20" s="70">
        <v>5.0</v>
      </c>
      <c r="C20" s="85" t="s">
        <v>191</v>
      </c>
      <c r="D20" s="73" t="s">
        <v>140</v>
      </c>
      <c r="E20" s="74" t="s">
        <v>208</v>
      </c>
      <c r="F20" s="29"/>
      <c r="G20" s="75" t="s">
        <v>209</v>
      </c>
      <c r="H20" s="76" t="s">
        <v>210</v>
      </c>
      <c r="I20" s="29"/>
      <c r="J20" s="77" t="s">
        <v>147</v>
      </c>
      <c r="K20" s="1"/>
      <c r="L20" s="1"/>
      <c r="M20" s="1"/>
      <c r="N20" s="1"/>
      <c r="O20" s="1"/>
      <c r="P20" s="1"/>
      <c r="Q20" s="1"/>
      <c r="R20" s="1"/>
      <c r="S20" s="1"/>
      <c r="T20" s="1"/>
      <c r="U20" s="1"/>
      <c r="V20" s="1"/>
      <c r="W20" s="1"/>
      <c r="X20" s="1"/>
      <c r="Y20" s="1"/>
      <c r="Z20" s="1"/>
    </row>
    <row r="21">
      <c r="A21" s="1"/>
      <c r="B21" s="78"/>
      <c r="C21" s="80" t="str">
        <f>D20 &amp; " " &amp; E20 &amp; " " &amp;G20&amp; " " &amp;H20&amp; " " </f>
        <v>Crea mensajes asertivos orientados a la resolución de conflictos mediante el uso de estrategias comunicativas adecuadas para generar soluciones colaborativas en entornos académicos y profesionales </v>
      </c>
      <c r="D21" s="26"/>
      <c r="E21" s="26"/>
      <c r="F21" s="26"/>
      <c r="G21" s="26"/>
      <c r="H21" s="26"/>
      <c r="I21" s="26"/>
      <c r="J21" s="29"/>
      <c r="K21" s="1"/>
      <c r="L21" s="1"/>
      <c r="M21" s="1"/>
      <c r="N21" s="1"/>
      <c r="O21" s="1"/>
      <c r="P21" s="1"/>
      <c r="Q21" s="1"/>
      <c r="R21" s="1"/>
      <c r="S21" s="1"/>
      <c r="T21" s="1"/>
      <c r="U21" s="1"/>
      <c r="V21" s="1"/>
      <c r="W21" s="1"/>
      <c r="X21" s="1"/>
      <c r="Y21" s="1"/>
      <c r="Z21" s="1"/>
    </row>
    <row r="22">
      <c r="A22" s="1"/>
      <c r="B22" s="70">
        <v>6.0</v>
      </c>
      <c r="C22" s="85" t="s">
        <v>191</v>
      </c>
      <c r="D22" s="73" t="s">
        <v>214</v>
      </c>
      <c r="E22" s="74" t="s">
        <v>215</v>
      </c>
      <c r="F22" s="29"/>
      <c r="G22" s="75" t="s">
        <v>216</v>
      </c>
      <c r="H22" s="76" t="s">
        <v>217</v>
      </c>
      <c r="I22" s="29"/>
      <c r="J22" s="77" t="s">
        <v>218</v>
      </c>
      <c r="K22" s="1"/>
      <c r="L22" s="1"/>
      <c r="M22" s="1"/>
      <c r="N22" s="1"/>
      <c r="O22" s="1"/>
      <c r="P22" s="1"/>
      <c r="Q22" s="1"/>
      <c r="R22" s="1"/>
      <c r="S22" s="1"/>
      <c r="T22" s="1"/>
      <c r="U22" s="1"/>
      <c r="V22" s="1"/>
      <c r="W22" s="1"/>
      <c r="X22" s="1"/>
      <c r="Y22" s="1"/>
      <c r="Z22" s="1"/>
    </row>
    <row r="23">
      <c r="A23" s="1"/>
      <c r="B23" s="78"/>
      <c r="C23" s="80" t="str">
        <f>D22 &amp; " " &amp; E22 &amp; " " &amp;G22&amp; " " &amp;H22&amp; " " </f>
        <v>Explica las características de la comunicación asertiva frente a estilos pasivos y agresivos utilizando ejemplos prácticos y análisis comparativo para mejorar la interacción en equipos de trabajo </v>
      </c>
      <c r="D23" s="26"/>
      <c r="E23" s="26"/>
      <c r="F23" s="26"/>
      <c r="G23" s="26"/>
      <c r="H23" s="26"/>
      <c r="I23" s="26"/>
      <c r="J23" s="29"/>
      <c r="K23" s="1"/>
      <c r="L23" s="1"/>
      <c r="M23" s="1"/>
      <c r="N23" s="1"/>
      <c r="O23" s="1"/>
      <c r="P23" s="1"/>
      <c r="Q23" s="1"/>
      <c r="R23" s="1"/>
      <c r="S23" s="1"/>
      <c r="T23" s="1"/>
      <c r="U23" s="1"/>
      <c r="V23" s="1"/>
      <c r="W23" s="1"/>
      <c r="X23" s="1"/>
      <c r="Y23" s="1"/>
      <c r="Z23" s="1"/>
    </row>
    <row r="24">
      <c r="A24" s="1"/>
      <c r="B24" s="70">
        <v>7.0</v>
      </c>
      <c r="C24" s="85" t="s">
        <v>191</v>
      </c>
      <c r="D24" s="73" t="s">
        <v>219</v>
      </c>
      <c r="E24" s="74" t="s">
        <v>220</v>
      </c>
      <c r="F24" s="29"/>
      <c r="G24" s="75" t="s">
        <v>221</v>
      </c>
      <c r="H24" s="76" t="s">
        <v>222</v>
      </c>
      <c r="I24" s="29"/>
      <c r="J24" s="77" t="s">
        <v>223</v>
      </c>
      <c r="K24" s="1"/>
      <c r="L24" s="1"/>
      <c r="M24" s="1"/>
      <c r="N24" s="1"/>
      <c r="O24" s="1"/>
      <c r="P24" s="1"/>
      <c r="Q24" s="1"/>
      <c r="R24" s="1"/>
      <c r="S24" s="1"/>
      <c r="T24" s="1"/>
      <c r="U24" s="1"/>
      <c r="V24" s="1"/>
      <c r="W24" s="1"/>
      <c r="X24" s="1"/>
      <c r="Y24" s="1"/>
      <c r="Z24" s="1"/>
    </row>
    <row r="25">
      <c r="A25" s="1"/>
      <c r="B25" s="78"/>
      <c r="C25" s="80" t="str">
        <f>D24 &amp; " " &amp; E24 &amp; " " &amp;G24&amp; " " &amp;H24&amp; " " </f>
        <v>Reconoce los elementos del proceso comunicativo y barreras comunes mediante el análisis de situaciones reales para optimizar la comunicación en contextos orales y escritos </v>
      </c>
      <c r="D25" s="26"/>
      <c r="E25" s="26"/>
      <c r="F25" s="26"/>
      <c r="G25" s="26"/>
      <c r="H25" s="26"/>
      <c r="I25" s="26"/>
      <c r="J25" s="29"/>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87" t="s">
        <v>224</v>
      </c>
      <c r="C28" s="26"/>
      <c r="D28" s="26"/>
      <c r="E28" s="26"/>
      <c r="F28" s="26"/>
      <c r="G28" s="26"/>
      <c r="H28" s="26"/>
      <c r="I28" s="26"/>
      <c r="J28" s="29"/>
      <c r="K28" s="1"/>
      <c r="L28" s="1"/>
      <c r="M28" s="1"/>
      <c r="N28" s="1"/>
      <c r="O28" s="1"/>
      <c r="P28" s="1"/>
      <c r="Q28" s="1"/>
      <c r="R28" s="1"/>
      <c r="S28" s="1"/>
      <c r="T28" s="1"/>
      <c r="U28" s="1"/>
      <c r="V28" s="1"/>
      <c r="W28" s="1"/>
      <c r="X28" s="1"/>
      <c r="Y28" s="1"/>
      <c r="Z28" s="1"/>
    </row>
    <row r="29">
      <c r="A29" s="1"/>
      <c r="B29" s="88"/>
      <c r="C29" s="89"/>
      <c r="D29" s="89"/>
      <c r="E29" s="89"/>
      <c r="F29" s="89"/>
      <c r="G29" s="89"/>
      <c r="H29" s="89"/>
      <c r="I29" s="89"/>
      <c r="J29" s="90"/>
      <c r="K29" s="1"/>
      <c r="L29" s="1"/>
      <c r="M29" s="1"/>
      <c r="N29" s="1"/>
      <c r="O29" s="1"/>
      <c r="P29" s="1"/>
      <c r="Q29" s="1"/>
      <c r="R29" s="1"/>
      <c r="S29" s="1"/>
      <c r="T29" s="1"/>
      <c r="U29" s="1"/>
      <c r="V29" s="1"/>
      <c r="W29" s="1"/>
      <c r="X29" s="1"/>
      <c r="Y29" s="1"/>
      <c r="Z29" s="1"/>
    </row>
    <row r="30">
      <c r="A30" s="1"/>
      <c r="B30" s="91"/>
      <c r="C30" s="92"/>
      <c r="D30" s="92"/>
      <c r="E30" s="92"/>
      <c r="F30" s="92"/>
      <c r="G30" s="92"/>
      <c r="H30" s="92"/>
      <c r="I30" s="92"/>
      <c r="J30" s="93"/>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68.63"/>
    <col customWidth="1" min="4" max="4" width="30.5"/>
    <col customWidth="1" min="5" max="5" width="22.0"/>
    <col customWidth="1" min="6" max="6" width="27.38"/>
    <col customWidth="1" min="7" max="7" width="10.5"/>
  </cols>
  <sheetData>
    <row r="1" ht="15.75" customHeight="1"/>
    <row r="2" ht="15.75" customHeight="1">
      <c r="A2" s="3"/>
      <c r="B2" s="6" t="s">
        <v>1</v>
      </c>
    </row>
    <row r="3" ht="15.75" customHeight="1"/>
    <row r="4" ht="15.75" customHeight="1">
      <c r="B4" s="7" t="s">
        <v>3</v>
      </c>
      <c r="C4" s="8" t="s">
        <v>4</v>
      </c>
    </row>
    <row r="5" ht="15.75" customHeight="1">
      <c r="B5" s="7" t="s">
        <v>5</v>
      </c>
      <c r="C5" s="10" t="s">
        <v>6</v>
      </c>
    </row>
    <row r="6" ht="15.75" customHeight="1">
      <c r="H6" s="11"/>
    </row>
    <row r="7" ht="15.75" customHeight="1">
      <c r="H7" s="11"/>
    </row>
    <row r="8" ht="15.75" customHeight="1">
      <c r="A8" s="13"/>
      <c r="B8" s="15" t="s">
        <v>11</v>
      </c>
      <c r="C8" s="16" t="s">
        <v>16</v>
      </c>
      <c r="D8" s="15" t="s">
        <v>17</v>
      </c>
      <c r="E8" s="15" t="s">
        <v>18</v>
      </c>
      <c r="F8" s="15" t="s">
        <v>19</v>
      </c>
      <c r="G8" s="15" t="s">
        <v>20</v>
      </c>
      <c r="H8" s="15" t="s">
        <v>21</v>
      </c>
    </row>
    <row r="9" ht="15.75" customHeight="1">
      <c r="B9" s="10">
        <v>1.0</v>
      </c>
      <c r="C9" s="21" t="s">
        <v>24</v>
      </c>
      <c r="D9" s="1" t="s">
        <v>25</v>
      </c>
      <c r="E9" s="1" t="s">
        <v>26</v>
      </c>
      <c r="F9" s="1" t="s">
        <v>27</v>
      </c>
      <c r="G9" s="24" t="s">
        <v>29</v>
      </c>
      <c r="H9" s="27">
        <v>2.0</v>
      </c>
    </row>
    <row r="10" ht="15.75" customHeight="1">
      <c r="B10" s="10">
        <v>2.0</v>
      </c>
      <c r="C10" s="21" t="s">
        <v>24</v>
      </c>
      <c r="D10" s="30" t="s">
        <v>25</v>
      </c>
      <c r="E10" s="30" t="s">
        <v>26</v>
      </c>
      <c r="F10" s="30" t="s">
        <v>31</v>
      </c>
      <c r="G10" s="24" t="s">
        <v>29</v>
      </c>
      <c r="H10" s="31">
        <v>2.0</v>
      </c>
    </row>
    <row r="11" ht="15.75" customHeight="1">
      <c r="B11" s="10">
        <v>3.0</v>
      </c>
      <c r="C11" s="21" t="s">
        <v>24</v>
      </c>
      <c r="D11" s="30" t="s">
        <v>25</v>
      </c>
      <c r="E11" s="30" t="s">
        <v>32</v>
      </c>
      <c r="F11" s="30" t="s">
        <v>33</v>
      </c>
      <c r="G11" s="24" t="s">
        <v>29</v>
      </c>
      <c r="H11" s="31">
        <v>2.0</v>
      </c>
    </row>
    <row r="12" ht="15.75" customHeight="1">
      <c r="B12" s="10">
        <v>4.0</v>
      </c>
      <c r="C12" s="21" t="s">
        <v>24</v>
      </c>
      <c r="D12" s="30" t="s">
        <v>25</v>
      </c>
      <c r="E12" s="30" t="s">
        <v>32</v>
      </c>
      <c r="F12" s="34" t="s">
        <v>34</v>
      </c>
      <c r="G12" s="24" t="s">
        <v>29</v>
      </c>
      <c r="H12" s="31">
        <v>2.0</v>
      </c>
    </row>
    <row r="13" ht="15.75" customHeight="1">
      <c r="B13" s="10">
        <v>5.0</v>
      </c>
      <c r="C13" s="21" t="s">
        <v>24</v>
      </c>
      <c r="D13" s="30" t="s">
        <v>25</v>
      </c>
      <c r="E13" s="30" t="s">
        <v>35</v>
      </c>
      <c r="F13" s="30" t="s">
        <v>36</v>
      </c>
      <c r="G13" s="24" t="s">
        <v>29</v>
      </c>
      <c r="H13" s="31">
        <v>2.0</v>
      </c>
    </row>
    <row r="14" ht="15.75" customHeight="1">
      <c r="B14" s="10">
        <v>6.0</v>
      </c>
      <c r="C14" s="21" t="s">
        <v>24</v>
      </c>
      <c r="D14" s="30" t="s">
        <v>25</v>
      </c>
      <c r="E14" s="30" t="s">
        <v>35</v>
      </c>
      <c r="F14" s="30" t="s">
        <v>37</v>
      </c>
      <c r="G14" s="24" t="s">
        <v>29</v>
      </c>
      <c r="H14" s="31">
        <v>2.0</v>
      </c>
    </row>
    <row r="15" ht="15.75" customHeight="1">
      <c r="B15" s="10">
        <v>7.0</v>
      </c>
      <c r="C15" s="21" t="s">
        <v>39</v>
      </c>
      <c r="D15" s="30" t="s">
        <v>40</v>
      </c>
      <c r="E15" s="30" t="s">
        <v>41</v>
      </c>
      <c r="F15" s="30" t="s">
        <v>43</v>
      </c>
      <c r="G15" s="24" t="s">
        <v>44</v>
      </c>
      <c r="H15" s="31">
        <v>3.0</v>
      </c>
    </row>
    <row r="16" ht="15.75" customHeight="1">
      <c r="B16" s="10">
        <v>8.0</v>
      </c>
      <c r="C16" s="21" t="s">
        <v>39</v>
      </c>
      <c r="D16" s="30" t="s">
        <v>40</v>
      </c>
      <c r="E16" s="30" t="s">
        <v>41</v>
      </c>
      <c r="F16" s="30" t="s">
        <v>45</v>
      </c>
      <c r="G16" s="24" t="s">
        <v>44</v>
      </c>
      <c r="H16" s="31">
        <v>3.0</v>
      </c>
    </row>
    <row r="17" ht="15.75" customHeight="1">
      <c r="B17" s="10">
        <v>9.0</v>
      </c>
      <c r="C17" s="21" t="s">
        <v>39</v>
      </c>
      <c r="D17" s="30" t="s">
        <v>40</v>
      </c>
      <c r="E17" s="30" t="s">
        <v>46</v>
      </c>
      <c r="F17" s="30" t="s">
        <v>47</v>
      </c>
      <c r="G17" s="24" t="s">
        <v>44</v>
      </c>
      <c r="H17" s="31">
        <v>3.0</v>
      </c>
    </row>
    <row r="18" ht="15.75" customHeight="1">
      <c r="B18" s="10">
        <v>10.0</v>
      </c>
      <c r="C18" s="21" t="s">
        <v>39</v>
      </c>
      <c r="D18" s="30" t="s">
        <v>40</v>
      </c>
      <c r="E18" s="30" t="s">
        <v>46</v>
      </c>
      <c r="F18" s="30" t="s">
        <v>49</v>
      </c>
      <c r="G18" s="24" t="s">
        <v>44</v>
      </c>
      <c r="H18" s="31">
        <v>3.0</v>
      </c>
    </row>
    <row r="19" ht="15.75" customHeight="1">
      <c r="B19" s="10">
        <v>11.0</v>
      </c>
      <c r="C19" s="21" t="s">
        <v>39</v>
      </c>
      <c r="D19" s="30" t="s">
        <v>40</v>
      </c>
      <c r="E19" s="30" t="s">
        <v>50</v>
      </c>
      <c r="F19" s="30" t="s">
        <v>51</v>
      </c>
      <c r="G19" s="24" t="s">
        <v>44</v>
      </c>
      <c r="H19" s="31">
        <v>3.0</v>
      </c>
    </row>
    <row r="20" ht="15.75" customHeight="1">
      <c r="B20" s="10">
        <v>12.0</v>
      </c>
      <c r="C20" s="21" t="s">
        <v>39</v>
      </c>
      <c r="D20" s="30" t="s">
        <v>40</v>
      </c>
      <c r="E20" s="30" t="s">
        <v>50</v>
      </c>
      <c r="F20" s="30" t="s">
        <v>54</v>
      </c>
      <c r="G20" s="24" t="s">
        <v>44</v>
      </c>
      <c r="H20" s="31">
        <v>3.0</v>
      </c>
    </row>
    <row r="21" ht="15.75" customHeight="1">
      <c r="B21" s="10">
        <v>13.0</v>
      </c>
      <c r="C21" s="21" t="s">
        <v>56</v>
      </c>
      <c r="D21" s="30" t="s">
        <v>57</v>
      </c>
      <c r="E21" s="30" t="s">
        <v>58</v>
      </c>
      <c r="F21" s="30" t="s">
        <v>59</v>
      </c>
      <c r="G21" s="24" t="s">
        <v>44</v>
      </c>
      <c r="H21" s="31">
        <v>4.0</v>
      </c>
    </row>
    <row r="22" ht="15.75" customHeight="1">
      <c r="B22" s="10">
        <v>14.0</v>
      </c>
      <c r="C22" s="21" t="s">
        <v>56</v>
      </c>
      <c r="D22" s="30" t="s">
        <v>57</v>
      </c>
      <c r="E22" s="30" t="s">
        <v>58</v>
      </c>
      <c r="F22" s="30" t="s">
        <v>61</v>
      </c>
      <c r="G22" s="24" t="s">
        <v>44</v>
      </c>
      <c r="H22" s="31">
        <v>4.0</v>
      </c>
    </row>
    <row r="23" ht="15.75" customHeight="1">
      <c r="B23" s="10">
        <v>15.0</v>
      </c>
      <c r="C23" s="21" t="s">
        <v>56</v>
      </c>
      <c r="D23" s="30" t="s">
        <v>57</v>
      </c>
      <c r="E23" s="30" t="s">
        <v>62</v>
      </c>
      <c r="F23" s="30" t="s">
        <v>61</v>
      </c>
      <c r="G23" s="24" t="s">
        <v>44</v>
      </c>
      <c r="H23" s="31">
        <v>4.0</v>
      </c>
    </row>
    <row r="24" ht="15.75" customHeight="1">
      <c r="B24" s="10">
        <v>16.0</v>
      </c>
      <c r="C24" s="21" t="s">
        <v>56</v>
      </c>
      <c r="D24" s="30" t="s">
        <v>57</v>
      </c>
      <c r="E24" s="30" t="s">
        <v>62</v>
      </c>
      <c r="F24" s="30" t="s">
        <v>68</v>
      </c>
      <c r="G24" s="24" t="s">
        <v>44</v>
      </c>
      <c r="H24" s="31">
        <v>4.0</v>
      </c>
    </row>
    <row r="25" ht="15.75" customHeight="1">
      <c r="B25" s="10">
        <v>17.0</v>
      </c>
      <c r="C25" s="21" t="s">
        <v>56</v>
      </c>
      <c r="D25" s="30" t="s">
        <v>57</v>
      </c>
      <c r="E25" s="30" t="s">
        <v>69</v>
      </c>
      <c r="F25" s="30" t="s">
        <v>70</v>
      </c>
      <c r="G25" s="24" t="s">
        <v>44</v>
      </c>
      <c r="H25" s="31">
        <v>4.0</v>
      </c>
    </row>
    <row r="26" ht="15.75" customHeight="1">
      <c r="B26" s="10">
        <v>18.0</v>
      </c>
      <c r="C26" s="21" t="s">
        <v>56</v>
      </c>
      <c r="D26" s="30" t="s">
        <v>57</v>
      </c>
      <c r="E26" s="30" t="s">
        <v>69</v>
      </c>
      <c r="F26" s="30" t="s">
        <v>73</v>
      </c>
      <c r="G26" s="24" t="s">
        <v>44</v>
      </c>
      <c r="H26" s="31">
        <v>4.0</v>
      </c>
    </row>
    <row r="27" ht="15.75" customHeight="1">
      <c r="B27" s="10">
        <v>19.0</v>
      </c>
      <c r="C27" s="21" t="s">
        <v>74</v>
      </c>
      <c r="D27" s="30" t="s">
        <v>75</v>
      </c>
      <c r="E27" s="30" t="s">
        <v>76</v>
      </c>
      <c r="F27" s="30" t="s">
        <v>77</v>
      </c>
      <c r="G27" s="24" t="s">
        <v>44</v>
      </c>
      <c r="H27" s="31">
        <v>5.0</v>
      </c>
    </row>
    <row r="28" ht="15.75" customHeight="1">
      <c r="B28" s="10">
        <v>20.0</v>
      </c>
      <c r="C28" s="21" t="s">
        <v>74</v>
      </c>
      <c r="D28" s="30" t="s">
        <v>75</v>
      </c>
      <c r="E28" s="30" t="s">
        <v>76</v>
      </c>
      <c r="F28" s="30" t="s">
        <v>82</v>
      </c>
      <c r="G28" s="24" t="s">
        <v>44</v>
      </c>
      <c r="H28" s="31">
        <v>5.0</v>
      </c>
    </row>
    <row r="29" ht="15.75" customHeight="1">
      <c r="B29" s="10">
        <v>21.0</v>
      </c>
      <c r="C29" s="21" t="s">
        <v>74</v>
      </c>
      <c r="D29" s="30" t="s">
        <v>75</v>
      </c>
      <c r="E29" s="30" t="s">
        <v>85</v>
      </c>
      <c r="F29" s="30" t="s">
        <v>86</v>
      </c>
      <c r="G29" s="24" t="s">
        <v>44</v>
      </c>
      <c r="H29" s="31">
        <v>5.0</v>
      </c>
    </row>
    <row r="30" ht="15.75" customHeight="1">
      <c r="B30" s="10">
        <v>22.0</v>
      </c>
      <c r="C30" s="21" t="s">
        <v>74</v>
      </c>
      <c r="D30" s="30" t="s">
        <v>75</v>
      </c>
      <c r="E30" s="30" t="s">
        <v>85</v>
      </c>
      <c r="F30" s="30" t="s">
        <v>91</v>
      </c>
      <c r="G30" s="24" t="s">
        <v>44</v>
      </c>
      <c r="H30" s="31">
        <v>5.0</v>
      </c>
    </row>
    <row r="31" ht="15.75" customHeight="1">
      <c r="B31" s="10">
        <v>23.0</v>
      </c>
      <c r="C31" s="21" t="s">
        <v>74</v>
      </c>
      <c r="D31" s="30" t="s">
        <v>75</v>
      </c>
      <c r="E31" s="30" t="s">
        <v>93</v>
      </c>
      <c r="F31" s="30" t="s">
        <v>94</v>
      </c>
      <c r="G31" s="24" t="s">
        <v>44</v>
      </c>
      <c r="H31" s="31">
        <v>5.0</v>
      </c>
    </row>
    <row r="32" ht="15.75" customHeight="1">
      <c r="B32" s="10">
        <v>24.0</v>
      </c>
      <c r="C32" s="21" t="s">
        <v>74</v>
      </c>
      <c r="D32" s="30" t="s">
        <v>75</v>
      </c>
      <c r="E32" s="30" t="s">
        <v>93</v>
      </c>
      <c r="F32" s="30" t="s">
        <v>95</v>
      </c>
      <c r="G32" s="24" t="s">
        <v>44</v>
      </c>
      <c r="H32" s="31">
        <v>5.0</v>
      </c>
    </row>
    <row r="33" ht="15.75" customHeight="1">
      <c r="B33" s="10">
        <v>25.0</v>
      </c>
      <c r="C33" s="21" t="s">
        <v>97</v>
      </c>
      <c r="D33" s="30" t="s">
        <v>98</v>
      </c>
      <c r="E33" s="30" t="s">
        <v>99</v>
      </c>
      <c r="F33" s="30" t="s">
        <v>100</v>
      </c>
      <c r="G33" s="24" t="s">
        <v>44</v>
      </c>
      <c r="H33" s="31">
        <v>6.0</v>
      </c>
    </row>
    <row r="34" ht="15.75" customHeight="1">
      <c r="B34" s="10">
        <v>26.0</v>
      </c>
      <c r="C34" s="21" t="s">
        <v>97</v>
      </c>
      <c r="D34" s="30" t="s">
        <v>98</v>
      </c>
      <c r="E34" s="30" t="s">
        <v>99</v>
      </c>
      <c r="F34" s="30" t="s">
        <v>102</v>
      </c>
      <c r="G34" s="24" t="s">
        <v>44</v>
      </c>
      <c r="H34" s="31">
        <v>6.0</v>
      </c>
    </row>
    <row r="35" ht="15.75" customHeight="1">
      <c r="B35" s="10">
        <v>27.0</v>
      </c>
      <c r="C35" s="21" t="s">
        <v>97</v>
      </c>
      <c r="D35" s="30" t="s">
        <v>98</v>
      </c>
      <c r="E35" s="30" t="s">
        <v>105</v>
      </c>
      <c r="F35" s="30" t="s">
        <v>106</v>
      </c>
      <c r="G35" s="24" t="s">
        <v>44</v>
      </c>
      <c r="H35" s="31">
        <v>6.0</v>
      </c>
    </row>
    <row r="36" ht="15.75" customHeight="1">
      <c r="B36" s="10">
        <v>28.0</v>
      </c>
      <c r="C36" s="21" t="s">
        <v>97</v>
      </c>
      <c r="D36" s="30" t="s">
        <v>98</v>
      </c>
      <c r="E36" s="30" t="s">
        <v>105</v>
      </c>
      <c r="F36" s="30" t="s">
        <v>109</v>
      </c>
      <c r="G36" s="24" t="s">
        <v>44</v>
      </c>
      <c r="H36" s="31">
        <v>6.0</v>
      </c>
    </row>
    <row r="37" ht="15.75" customHeight="1">
      <c r="B37" s="10">
        <v>29.0</v>
      </c>
      <c r="C37" s="21" t="s">
        <v>97</v>
      </c>
      <c r="D37" s="30" t="s">
        <v>98</v>
      </c>
      <c r="E37" s="30" t="s">
        <v>112</v>
      </c>
      <c r="F37" s="30" t="s">
        <v>114</v>
      </c>
      <c r="G37" s="24" t="s">
        <v>44</v>
      </c>
      <c r="H37" s="31">
        <v>6.0</v>
      </c>
    </row>
    <row r="38" ht="15.75" customHeight="1">
      <c r="B38" s="10">
        <v>30.0</v>
      </c>
      <c r="C38" s="21" t="s">
        <v>97</v>
      </c>
      <c r="D38" s="30" t="s">
        <v>98</v>
      </c>
      <c r="E38" s="30" t="s">
        <v>112</v>
      </c>
      <c r="F38" s="30" t="s">
        <v>117</v>
      </c>
      <c r="G38" s="24" t="s">
        <v>44</v>
      </c>
      <c r="H38" s="31">
        <v>6.0</v>
      </c>
    </row>
    <row r="39" ht="15.75" customHeight="1">
      <c r="B39" s="10">
        <v>31.0</v>
      </c>
      <c r="C39" s="21" t="s">
        <v>118</v>
      </c>
      <c r="D39" s="30" t="s">
        <v>119</v>
      </c>
      <c r="E39" s="30" t="s">
        <v>121</v>
      </c>
      <c r="F39" s="30" t="s">
        <v>122</v>
      </c>
      <c r="G39" s="24" t="s">
        <v>123</v>
      </c>
      <c r="H39" s="31">
        <v>7.0</v>
      </c>
    </row>
    <row r="40" ht="15.75" customHeight="1">
      <c r="B40" s="10">
        <v>32.0</v>
      </c>
      <c r="C40" s="21" t="s">
        <v>118</v>
      </c>
      <c r="D40" s="30" t="s">
        <v>119</v>
      </c>
      <c r="E40" s="30" t="s">
        <v>121</v>
      </c>
      <c r="F40" s="30" t="s">
        <v>124</v>
      </c>
      <c r="G40" s="24" t="s">
        <v>123</v>
      </c>
      <c r="H40" s="31">
        <v>7.0</v>
      </c>
    </row>
    <row r="41" ht="15.75" customHeight="1">
      <c r="B41" s="10">
        <v>33.0</v>
      </c>
      <c r="C41" s="21" t="s">
        <v>118</v>
      </c>
      <c r="D41" s="30" t="s">
        <v>119</v>
      </c>
      <c r="E41" s="30" t="s">
        <v>125</v>
      </c>
      <c r="F41" s="30" t="s">
        <v>126</v>
      </c>
      <c r="G41" s="24" t="s">
        <v>123</v>
      </c>
      <c r="H41" s="31">
        <v>7.0</v>
      </c>
    </row>
    <row r="42" ht="15.75" customHeight="1">
      <c r="B42" s="10">
        <v>34.0</v>
      </c>
      <c r="C42" s="21" t="s">
        <v>118</v>
      </c>
      <c r="D42" s="30" t="s">
        <v>119</v>
      </c>
      <c r="E42" s="30" t="s">
        <v>125</v>
      </c>
      <c r="F42" s="30" t="s">
        <v>127</v>
      </c>
      <c r="G42" s="24" t="s">
        <v>123</v>
      </c>
      <c r="H42" s="31">
        <v>7.0</v>
      </c>
    </row>
    <row r="43" ht="15.75" customHeight="1">
      <c r="B43" s="10">
        <v>35.0</v>
      </c>
      <c r="C43" s="21" t="s">
        <v>118</v>
      </c>
      <c r="D43" s="30" t="s">
        <v>119</v>
      </c>
      <c r="E43" s="30" t="s">
        <v>128</v>
      </c>
      <c r="F43" s="30" t="s">
        <v>129</v>
      </c>
      <c r="G43" s="24" t="s">
        <v>123</v>
      </c>
      <c r="H43" s="31">
        <v>7.0</v>
      </c>
    </row>
    <row r="44" ht="15.75" customHeight="1">
      <c r="B44" s="10">
        <v>36.0</v>
      </c>
      <c r="C44" s="21" t="s">
        <v>118</v>
      </c>
      <c r="D44" s="30" t="s">
        <v>119</v>
      </c>
      <c r="E44" s="30" t="s">
        <v>128</v>
      </c>
      <c r="F44" s="30" t="s">
        <v>130</v>
      </c>
      <c r="G44" s="24" t="s">
        <v>123</v>
      </c>
      <c r="H44" s="31">
        <v>7.0</v>
      </c>
    </row>
    <row r="45" ht="15.75" customHeight="1">
      <c r="B45" s="10">
        <v>37.0</v>
      </c>
      <c r="C45" s="21" t="s">
        <v>97</v>
      </c>
      <c r="D45" s="30" t="s">
        <v>131</v>
      </c>
      <c r="E45" s="30" t="s">
        <v>132</v>
      </c>
      <c r="F45" s="30" t="s">
        <v>133</v>
      </c>
      <c r="G45" s="24" t="s">
        <v>123</v>
      </c>
      <c r="H45" s="31">
        <v>8.0</v>
      </c>
    </row>
    <row r="46" ht="15.75" customHeight="1">
      <c r="B46" s="10">
        <v>38.0</v>
      </c>
      <c r="C46" s="21" t="s">
        <v>97</v>
      </c>
      <c r="D46" s="30" t="s">
        <v>131</v>
      </c>
      <c r="E46" s="30" t="s">
        <v>132</v>
      </c>
      <c r="F46" s="30" t="s">
        <v>135</v>
      </c>
      <c r="G46" s="24" t="s">
        <v>123</v>
      </c>
      <c r="H46" s="31">
        <v>8.0</v>
      </c>
    </row>
    <row r="47" ht="15.75" customHeight="1">
      <c r="B47" s="10">
        <v>39.0</v>
      </c>
      <c r="C47" s="21" t="s">
        <v>97</v>
      </c>
      <c r="D47" s="30" t="s">
        <v>131</v>
      </c>
      <c r="E47" s="30" t="s">
        <v>137</v>
      </c>
      <c r="F47" s="30" t="s">
        <v>138</v>
      </c>
      <c r="G47" s="24" t="s">
        <v>123</v>
      </c>
      <c r="H47" s="31">
        <v>8.0</v>
      </c>
    </row>
    <row r="48" ht="15.75" customHeight="1">
      <c r="B48" s="10">
        <v>40.0</v>
      </c>
      <c r="C48" s="21" t="s">
        <v>97</v>
      </c>
      <c r="D48" s="30" t="s">
        <v>131</v>
      </c>
      <c r="E48" s="30" t="s">
        <v>137</v>
      </c>
      <c r="F48" s="30" t="s">
        <v>139</v>
      </c>
      <c r="G48" s="24" t="s">
        <v>123</v>
      </c>
      <c r="H48" s="31">
        <v>8.0</v>
      </c>
    </row>
    <row r="49" ht="15.75" customHeight="1">
      <c r="B49" s="10">
        <v>41.0</v>
      </c>
      <c r="C49" s="21" t="s">
        <v>97</v>
      </c>
      <c r="D49" s="30" t="s">
        <v>131</v>
      </c>
      <c r="E49" s="30" t="s">
        <v>142</v>
      </c>
      <c r="F49" s="30" t="s">
        <v>143</v>
      </c>
      <c r="G49" s="24" t="s">
        <v>123</v>
      </c>
      <c r="H49" s="31">
        <v>8.0</v>
      </c>
    </row>
    <row r="50" ht="15.75" customHeight="1">
      <c r="B50" s="10">
        <v>42.0</v>
      </c>
      <c r="C50" s="21" t="s">
        <v>97</v>
      </c>
      <c r="D50" s="30" t="s">
        <v>131</v>
      </c>
      <c r="E50" s="30" t="s">
        <v>142</v>
      </c>
      <c r="F50" s="30" t="s">
        <v>146</v>
      </c>
      <c r="G50" s="24" t="s">
        <v>123</v>
      </c>
      <c r="H50" s="31">
        <v>8.0</v>
      </c>
    </row>
    <row r="51" ht="15.75" customHeight="1">
      <c r="B51" s="10">
        <v>43.0</v>
      </c>
      <c r="C51" s="21" t="s">
        <v>149</v>
      </c>
      <c r="D51" s="30" t="s">
        <v>150</v>
      </c>
      <c r="E51" s="30" t="s">
        <v>151</v>
      </c>
      <c r="F51" s="30" t="s">
        <v>152</v>
      </c>
      <c r="G51" s="24" t="s">
        <v>123</v>
      </c>
      <c r="H51" s="31">
        <v>9.0</v>
      </c>
    </row>
    <row r="52" ht="15.75" customHeight="1">
      <c r="B52" s="10">
        <v>44.0</v>
      </c>
      <c r="C52" s="21" t="s">
        <v>149</v>
      </c>
      <c r="D52" s="30" t="s">
        <v>150</v>
      </c>
      <c r="E52" s="30" t="s">
        <v>151</v>
      </c>
      <c r="F52" s="30" t="s">
        <v>153</v>
      </c>
      <c r="G52" s="24" t="s">
        <v>123</v>
      </c>
      <c r="H52" s="31">
        <v>9.0</v>
      </c>
    </row>
    <row r="53" ht="15.75" customHeight="1">
      <c r="B53" s="10">
        <v>45.0</v>
      </c>
      <c r="C53" s="21" t="s">
        <v>149</v>
      </c>
      <c r="D53" s="30" t="s">
        <v>150</v>
      </c>
      <c r="E53" s="30" t="s">
        <v>155</v>
      </c>
      <c r="F53" s="30" t="s">
        <v>156</v>
      </c>
      <c r="G53" s="24" t="s">
        <v>123</v>
      </c>
      <c r="H53" s="31">
        <v>9.0</v>
      </c>
    </row>
    <row r="54" ht="15.75" customHeight="1">
      <c r="B54" s="10">
        <v>46.0</v>
      </c>
      <c r="C54" s="21" t="s">
        <v>149</v>
      </c>
      <c r="D54" s="30" t="s">
        <v>150</v>
      </c>
      <c r="E54" s="30" t="s">
        <v>155</v>
      </c>
      <c r="F54" s="30" t="s">
        <v>159</v>
      </c>
      <c r="G54" s="24" t="s">
        <v>123</v>
      </c>
      <c r="H54" s="31">
        <v>9.0</v>
      </c>
    </row>
    <row r="55" ht="15.75" customHeight="1">
      <c r="B55" s="10">
        <v>47.0</v>
      </c>
      <c r="C55" s="21" t="s">
        <v>149</v>
      </c>
      <c r="D55" s="30" t="s">
        <v>150</v>
      </c>
      <c r="E55" s="30" t="s">
        <v>160</v>
      </c>
      <c r="F55" s="30" t="s">
        <v>161</v>
      </c>
      <c r="G55" s="24" t="s">
        <v>123</v>
      </c>
      <c r="H55" s="31">
        <v>9.0</v>
      </c>
    </row>
    <row r="56" ht="15.75" customHeight="1">
      <c r="B56" s="10">
        <v>48.0</v>
      </c>
      <c r="C56" s="21" t="s">
        <v>149</v>
      </c>
      <c r="D56" s="30" t="s">
        <v>150</v>
      </c>
      <c r="E56" s="30" t="s">
        <v>160</v>
      </c>
      <c r="F56" s="30" t="s">
        <v>164</v>
      </c>
      <c r="G56" s="24" t="s">
        <v>123</v>
      </c>
      <c r="H56" s="31">
        <v>9.0</v>
      </c>
    </row>
    <row r="57" ht="15.75" customHeight="1">
      <c r="B57" s="10">
        <v>49.0</v>
      </c>
      <c r="C57" s="21" t="s">
        <v>118</v>
      </c>
      <c r="D57" s="30" t="s">
        <v>168</v>
      </c>
      <c r="E57" s="30" t="s">
        <v>169</v>
      </c>
      <c r="F57" s="30" t="s">
        <v>170</v>
      </c>
      <c r="G57" s="24" t="s">
        <v>123</v>
      </c>
      <c r="H57" s="31">
        <v>10.0</v>
      </c>
    </row>
    <row r="58" ht="15.75" customHeight="1">
      <c r="B58" s="10">
        <v>50.0</v>
      </c>
      <c r="C58" s="21" t="s">
        <v>118</v>
      </c>
      <c r="D58" s="30" t="s">
        <v>168</v>
      </c>
      <c r="E58" s="30" t="s">
        <v>169</v>
      </c>
      <c r="F58" s="34" t="s">
        <v>173</v>
      </c>
      <c r="G58" s="24" t="s">
        <v>123</v>
      </c>
      <c r="H58" s="31">
        <v>10.0</v>
      </c>
    </row>
    <row r="59" ht="15.75" customHeight="1">
      <c r="B59" s="10">
        <v>51.0</v>
      </c>
      <c r="C59" s="21" t="s">
        <v>118</v>
      </c>
      <c r="D59" s="30" t="s">
        <v>168</v>
      </c>
      <c r="E59" s="30" t="s">
        <v>175</v>
      </c>
      <c r="F59" s="30" t="s">
        <v>176</v>
      </c>
      <c r="G59" s="24" t="s">
        <v>123</v>
      </c>
      <c r="H59" s="31">
        <v>10.0</v>
      </c>
    </row>
    <row r="60" ht="15.75" customHeight="1">
      <c r="B60" s="10">
        <v>52.0</v>
      </c>
      <c r="C60" s="21" t="s">
        <v>118</v>
      </c>
      <c r="D60" s="30" t="s">
        <v>168</v>
      </c>
      <c r="E60" s="30" t="s">
        <v>175</v>
      </c>
      <c r="F60" s="30" t="s">
        <v>177</v>
      </c>
      <c r="G60" s="24" t="s">
        <v>123</v>
      </c>
      <c r="H60" s="31">
        <v>10.0</v>
      </c>
    </row>
    <row r="61" ht="15.75" customHeight="1">
      <c r="B61" s="10">
        <v>53.0</v>
      </c>
      <c r="C61" s="21" t="s">
        <v>118</v>
      </c>
      <c r="D61" s="30" t="s">
        <v>168</v>
      </c>
      <c r="E61" s="30" t="s">
        <v>179</v>
      </c>
      <c r="F61" s="30" t="s">
        <v>180</v>
      </c>
      <c r="G61" s="24" t="s">
        <v>123</v>
      </c>
      <c r="H61" s="31">
        <v>10.0</v>
      </c>
    </row>
    <row r="62" ht="15.75" customHeight="1">
      <c r="B62" s="10">
        <v>54.0</v>
      </c>
      <c r="C62" s="21" t="s">
        <v>118</v>
      </c>
      <c r="D62" s="30" t="s">
        <v>168</v>
      </c>
      <c r="E62" s="30" t="s">
        <v>179</v>
      </c>
      <c r="F62" s="30" t="s">
        <v>181</v>
      </c>
      <c r="G62" s="24" t="s">
        <v>182</v>
      </c>
      <c r="H62" s="31">
        <v>10.0</v>
      </c>
    </row>
    <row r="63" ht="15.75" customHeight="1">
      <c r="B63" s="10">
        <v>55.0</v>
      </c>
      <c r="C63" s="21" t="s">
        <v>56</v>
      </c>
      <c r="D63" s="30" t="s">
        <v>185</v>
      </c>
      <c r="E63" s="30" t="s">
        <v>186</v>
      </c>
      <c r="F63" s="30" t="s">
        <v>187</v>
      </c>
      <c r="G63" s="24" t="s">
        <v>182</v>
      </c>
      <c r="H63" s="31">
        <v>10.0</v>
      </c>
    </row>
    <row r="64" ht="15.75" customHeight="1">
      <c r="B64" s="10">
        <v>56.0</v>
      </c>
      <c r="C64" s="21" t="s">
        <v>56</v>
      </c>
      <c r="D64" s="30" t="s">
        <v>185</v>
      </c>
      <c r="E64" s="30" t="s">
        <v>186</v>
      </c>
      <c r="F64" s="30" t="s">
        <v>190</v>
      </c>
      <c r="G64" s="24" t="s">
        <v>182</v>
      </c>
      <c r="H64" s="84">
        <v>11.0</v>
      </c>
    </row>
    <row r="65" ht="15.75" customHeight="1">
      <c r="B65" s="10">
        <v>57.0</v>
      </c>
      <c r="C65" s="21" t="s">
        <v>56</v>
      </c>
      <c r="D65" s="30" t="s">
        <v>185</v>
      </c>
      <c r="E65" s="30" t="s">
        <v>192</v>
      </c>
      <c r="F65" s="30" t="s">
        <v>194</v>
      </c>
      <c r="G65" s="24" t="s">
        <v>182</v>
      </c>
      <c r="H65" s="84">
        <v>11.0</v>
      </c>
    </row>
    <row r="66" ht="15.75" customHeight="1">
      <c r="B66" s="10">
        <v>58.0</v>
      </c>
      <c r="C66" s="21" t="s">
        <v>56</v>
      </c>
      <c r="D66" s="30" t="s">
        <v>185</v>
      </c>
      <c r="E66" s="30" t="s">
        <v>198</v>
      </c>
      <c r="F66" s="30" t="s">
        <v>199</v>
      </c>
      <c r="G66" s="24" t="s">
        <v>182</v>
      </c>
      <c r="H66" s="84">
        <v>11.0</v>
      </c>
    </row>
    <row r="67" ht="15.75" customHeight="1">
      <c r="B67" s="10">
        <v>59.0</v>
      </c>
      <c r="C67" s="21" t="s">
        <v>56</v>
      </c>
      <c r="D67" s="30" t="s">
        <v>185</v>
      </c>
      <c r="E67" s="30" t="s">
        <v>198</v>
      </c>
      <c r="F67" s="30" t="s">
        <v>201</v>
      </c>
      <c r="G67" s="24" t="s">
        <v>182</v>
      </c>
      <c r="H67" s="84">
        <v>11.0</v>
      </c>
    </row>
    <row r="68" ht="15.75" customHeight="1">
      <c r="B68" s="10">
        <v>60.0</v>
      </c>
      <c r="C68" s="21" t="s">
        <v>56</v>
      </c>
      <c r="D68" s="30" t="s">
        <v>202</v>
      </c>
      <c r="E68" s="30" t="s">
        <v>203</v>
      </c>
      <c r="F68" s="30"/>
      <c r="G68" s="24" t="s">
        <v>182</v>
      </c>
      <c r="H68" s="84">
        <v>11.0</v>
      </c>
    </row>
    <row r="69" ht="15.75" customHeight="1">
      <c r="B69" s="10">
        <v>61.0</v>
      </c>
      <c r="C69" s="2"/>
      <c r="H69" s="10"/>
    </row>
    <row r="70" ht="15.75" customHeight="1">
      <c r="B70" s="10">
        <v>62.0</v>
      </c>
      <c r="C70" s="2"/>
      <c r="H70" s="10"/>
    </row>
    <row r="71" ht="15.75" customHeight="1">
      <c r="B71" s="10">
        <v>63.0</v>
      </c>
      <c r="C71" s="2"/>
      <c r="H71" s="10"/>
    </row>
    <row r="72" ht="15.75" customHeight="1">
      <c r="B72" s="10">
        <v>64.0</v>
      </c>
      <c r="C72" s="2"/>
      <c r="H72" s="10"/>
    </row>
    <row r="73" ht="15.75" customHeight="1">
      <c r="B73" s="10">
        <v>65.0</v>
      </c>
      <c r="C73" s="2"/>
      <c r="H73" s="10"/>
    </row>
    <row r="74" ht="15.75" customHeight="1">
      <c r="B74" s="10">
        <v>66.0</v>
      </c>
      <c r="C74" s="2"/>
      <c r="H74" s="10"/>
    </row>
    <row r="75" ht="15.75" customHeight="1">
      <c r="B75" s="10">
        <v>67.0</v>
      </c>
      <c r="C75" s="2"/>
      <c r="H75" s="10"/>
    </row>
    <row r="76" ht="15.75" customHeight="1">
      <c r="B76" s="10">
        <v>68.0</v>
      </c>
      <c r="C76" s="2"/>
      <c r="H76" s="10"/>
    </row>
    <row r="77" ht="15.75" customHeight="1">
      <c r="B77" s="10">
        <v>69.0</v>
      </c>
      <c r="C77" s="2"/>
      <c r="H77" s="10"/>
    </row>
    <row r="78" ht="15.75" customHeight="1">
      <c r="B78" s="10">
        <v>70.0</v>
      </c>
      <c r="C78" s="2"/>
      <c r="H78" s="10"/>
    </row>
    <row r="79" ht="15.75" customHeight="1">
      <c r="B79" s="10">
        <v>71.0</v>
      </c>
      <c r="C79" s="2"/>
      <c r="H79" s="10"/>
    </row>
    <row r="80" ht="15.75" customHeight="1">
      <c r="B80" s="10">
        <v>72.0</v>
      </c>
      <c r="C80" s="2"/>
      <c r="H80" s="10"/>
    </row>
    <row r="81" ht="15.75" customHeight="1">
      <c r="B81" s="10">
        <v>73.0</v>
      </c>
      <c r="C81" s="2"/>
      <c r="H81" s="10"/>
    </row>
    <row r="82" ht="15.75" customHeight="1">
      <c r="B82" s="10">
        <v>74.0</v>
      </c>
      <c r="C82" s="2"/>
      <c r="H82" s="10"/>
    </row>
    <row r="83" ht="15.75" customHeight="1">
      <c r="B83" s="10">
        <v>75.0</v>
      </c>
      <c r="C83" s="2"/>
      <c r="H83" s="10"/>
    </row>
    <row r="84" ht="15.75" customHeight="1">
      <c r="B84" s="10">
        <v>76.0</v>
      </c>
      <c r="C84" s="2"/>
      <c r="H84" s="10"/>
    </row>
    <row r="85" ht="15.75" customHeight="1">
      <c r="B85" s="10">
        <v>77.0</v>
      </c>
      <c r="C85" s="2"/>
      <c r="H85" s="10"/>
    </row>
    <row r="86" ht="15.75" customHeight="1">
      <c r="B86" s="10">
        <v>78.0</v>
      </c>
      <c r="C86" s="2"/>
      <c r="H86" s="10"/>
    </row>
    <row r="87" ht="15.75" customHeight="1">
      <c r="B87" s="10">
        <v>79.0</v>
      </c>
      <c r="C87" s="2"/>
      <c r="H87" s="10"/>
    </row>
    <row r="88" ht="15.75" customHeight="1">
      <c r="B88" s="10">
        <v>80.0</v>
      </c>
      <c r="C88" s="2"/>
      <c r="H88" s="10"/>
    </row>
    <row r="89" ht="15.75" customHeight="1">
      <c r="B89" s="10">
        <v>81.0</v>
      </c>
      <c r="C89" s="2"/>
      <c r="H89" s="10"/>
    </row>
    <row r="90" ht="15.75" customHeight="1">
      <c r="B90" s="10">
        <v>82.0</v>
      </c>
      <c r="C90" s="2"/>
      <c r="H90" s="10"/>
    </row>
    <row r="91" ht="15.75" customHeight="1">
      <c r="B91" s="10">
        <v>83.0</v>
      </c>
      <c r="C91" s="2"/>
      <c r="H91" s="10"/>
    </row>
    <row r="92" ht="15.75" customHeight="1">
      <c r="B92" s="10">
        <v>84.0</v>
      </c>
      <c r="C92" s="2"/>
      <c r="H92" s="10"/>
    </row>
    <row r="93" ht="15.75" customHeight="1">
      <c r="B93" s="10">
        <v>85.0</v>
      </c>
      <c r="C93" s="2"/>
      <c r="H93" s="10"/>
    </row>
    <row r="94" ht="15.75" customHeight="1">
      <c r="B94" s="10">
        <v>86.0</v>
      </c>
      <c r="C94" s="2"/>
      <c r="H94" s="10"/>
    </row>
    <row r="95" ht="15.75" customHeight="1">
      <c r="B95" s="10">
        <v>87.0</v>
      </c>
      <c r="C95" s="2"/>
      <c r="H95" s="10"/>
    </row>
    <row r="96" ht="15.75" customHeight="1">
      <c r="B96" s="10">
        <v>88.0</v>
      </c>
      <c r="C96" s="2"/>
      <c r="H96" s="10"/>
    </row>
    <row r="97" ht="15.75" customHeight="1">
      <c r="B97" s="10">
        <v>89.0</v>
      </c>
      <c r="C97" s="2"/>
      <c r="H97" s="10"/>
    </row>
    <row r="98" ht="15.75" customHeight="1">
      <c r="B98" s="10">
        <v>90.0</v>
      </c>
      <c r="C98" s="2"/>
      <c r="H98" s="10"/>
    </row>
    <row r="99" ht="15.75" customHeight="1">
      <c r="B99" s="10">
        <v>91.0</v>
      </c>
      <c r="C99" s="2"/>
      <c r="H99" s="10"/>
    </row>
    <row r="100" ht="15.75" customHeight="1">
      <c r="B100" s="10">
        <v>92.0</v>
      </c>
      <c r="C100" s="2"/>
      <c r="H100" s="10"/>
    </row>
    <row r="101" ht="15.75" customHeight="1">
      <c r="B101" s="10">
        <v>93.0</v>
      </c>
      <c r="C101" s="2"/>
      <c r="H101" s="10"/>
    </row>
    <row r="102" ht="15.75" customHeight="1">
      <c r="B102" s="10">
        <v>94.0</v>
      </c>
      <c r="C102" s="2"/>
      <c r="H102" s="10"/>
    </row>
    <row r="103" ht="15.75" customHeight="1">
      <c r="B103" s="10">
        <v>95.0</v>
      </c>
      <c r="C103" s="2"/>
    </row>
    <row r="104" ht="15.75" customHeight="1">
      <c r="B104" s="10">
        <v>96.0</v>
      </c>
      <c r="C104" s="2"/>
    </row>
    <row r="105" ht="15.75" customHeight="1">
      <c r="B105" s="10">
        <v>97.0</v>
      </c>
      <c r="C105" s="2"/>
    </row>
    <row r="106" ht="15.75" customHeight="1">
      <c r="B106" s="10">
        <v>98.0</v>
      </c>
      <c r="C106" s="2"/>
    </row>
    <row r="107" ht="15.75" customHeight="1">
      <c r="B107" s="10">
        <v>99.0</v>
      </c>
      <c r="C107" s="2"/>
    </row>
    <row r="108" ht="15.75" customHeight="1">
      <c r="B108" s="10">
        <v>100.0</v>
      </c>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 type="list" allowBlank="1" showErrorMessage="1" sqref="H9:H68">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 t="s">
        <v>1</v>
      </c>
    </row>
    <row r="3" ht="15.75" customHeight="1"/>
    <row r="4" ht="15.75" customHeight="1">
      <c r="B4" s="23" t="s">
        <v>3</v>
      </c>
      <c r="C4" s="32" t="str">
        <f>'Diseño'!C4</f>
        <v>0089 - Comunicación Asertiva</v>
      </c>
      <c r="D4" s="26"/>
      <c r="E4" s="26"/>
      <c r="F4" s="26"/>
      <c r="G4" s="29"/>
    </row>
    <row r="5" ht="15.75" customHeight="1">
      <c r="B5" s="35" t="s">
        <v>21</v>
      </c>
      <c r="C5" s="32">
        <v>1.0</v>
      </c>
      <c r="D5" s="26"/>
      <c r="E5" s="26"/>
      <c r="F5" s="26"/>
      <c r="G5" s="29"/>
    </row>
    <row r="6" ht="15.75" customHeight="1">
      <c r="B6" s="35" t="s">
        <v>38</v>
      </c>
      <c r="C6" s="32">
        <f>B15+B22+B29+B41+B47+C48</f>
        <v>105</v>
      </c>
      <c r="D6" s="26"/>
      <c r="E6" s="26"/>
      <c r="F6" s="26"/>
      <c r="G6" s="29"/>
    </row>
    <row r="7" ht="15.75" customHeight="1"/>
    <row r="8" ht="15.75" customHeight="1">
      <c r="K8" s="47" t="s">
        <v>53</v>
      </c>
    </row>
    <row r="9" ht="15.75" customHeight="1">
      <c r="A9" s="49" t="s">
        <v>55</v>
      </c>
      <c r="G9" s="50" t="s">
        <v>60</v>
      </c>
      <c r="H9" s="53">
        <f>B15</f>
        <v>15</v>
      </c>
    </row>
    <row r="10" ht="15.75" customHeight="1">
      <c r="G10" s="56" t="s">
        <v>63</v>
      </c>
    </row>
    <row r="11" ht="24.75" customHeight="1">
      <c r="A11" s="57" t="s">
        <v>65</v>
      </c>
      <c r="B11" s="59" t="s">
        <v>66</v>
      </c>
      <c r="C11" s="26"/>
      <c r="D11" s="26"/>
      <c r="E11" s="26"/>
      <c r="F11" s="26"/>
      <c r="G11" s="26"/>
      <c r="H11" s="29"/>
    </row>
    <row r="12">
      <c r="A12" s="57" t="s">
        <v>71</v>
      </c>
      <c r="B12" s="59" t="s">
        <v>72</v>
      </c>
      <c r="C12" s="26"/>
      <c r="D12" s="26"/>
      <c r="E12" s="26"/>
      <c r="F12" s="26"/>
      <c r="G12" s="26"/>
      <c r="H12" s="29"/>
    </row>
    <row r="13">
      <c r="A13" s="61" t="s">
        <v>78</v>
      </c>
      <c r="B13" s="59" t="s">
        <v>80</v>
      </c>
      <c r="C13" s="26"/>
      <c r="D13" s="26"/>
      <c r="E13" s="26"/>
      <c r="F13" s="26"/>
      <c r="G13" s="26"/>
      <c r="H13" s="29"/>
    </row>
    <row r="14">
      <c r="A14" s="61" t="s">
        <v>87</v>
      </c>
      <c r="B14" s="59" t="s">
        <v>88</v>
      </c>
      <c r="C14" s="26"/>
      <c r="D14" s="26"/>
      <c r="E14" s="26"/>
      <c r="F14" s="26"/>
      <c r="G14" s="26"/>
      <c r="H14" s="29"/>
    </row>
    <row r="15" ht="15.75" customHeight="1">
      <c r="A15" s="65" t="s">
        <v>92</v>
      </c>
      <c r="B15" s="67">
        <v>15.0</v>
      </c>
      <c r="C15" s="26"/>
      <c r="D15" s="26"/>
      <c r="E15" s="26"/>
      <c r="F15" s="26"/>
      <c r="G15" s="26"/>
      <c r="H15" s="29"/>
    </row>
    <row r="16" ht="15.75" customHeight="1"/>
    <row r="17" ht="15.75" customHeight="1"/>
    <row r="18" ht="15.75" customHeight="1">
      <c r="A18" s="72" t="s">
        <v>101</v>
      </c>
      <c r="G18" s="50" t="s">
        <v>60</v>
      </c>
      <c r="H18" s="53">
        <f>B22</f>
        <v>30</v>
      </c>
    </row>
    <row r="19" ht="15.75" customHeight="1">
      <c r="G19" s="56" t="s">
        <v>108</v>
      </c>
      <c r="K19" s="47" t="s">
        <v>110</v>
      </c>
    </row>
    <row r="20">
      <c r="A20" s="57" t="s">
        <v>111</v>
      </c>
      <c r="B20" s="79" t="s">
        <v>115</v>
      </c>
      <c r="C20" s="26"/>
      <c r="D20" s="26"/>
      <c r="E20" s="26"/>
      <c r="F20" s="26"/>
      <c r="G20" s="26"/>
      <c r="H20" s="29"/>
    </row>
    <row r="21">
      <c r="A21" s="57" t="s">
        <v>134</v>
      </c>
      <c r="B21" s="81" t="s">
        <v>136</v>
      </c>
      <c r="C21" s="26"/>
      <c r="D21" s="26"/>
      <c r="E21" s="26"/>
      <c r="F21" s="26"/>
      <c r="G21" s="26"/>
      <c r="H21" s="29"/>
    </row>
    <row r="22">
      <c r="A22" s="65" t="s">
        <v>92</v>
      </c>
      <c r="B22" s="67">
        <v>30.0</v>
      </c>
      <c r="C22" s="26"/>
      <c r="D22" s="26"/>
      <c r="E22" s="26"/>
      <c r="F22" s="26"/>
      <c r="G22" s="26"/>
      <c r="H22" s="29"/>
    </row>
    <row r="23" ht="15.75" customHeight="1"/>
    <row r="24" ht="15.75" customHeight="1"/>
    <row r="25" ht="15.75" customHeight="1">
      <c r="A25" s="72" t="s">
        <v>148</v>
      </c>
      <c r="G25" s="82" t="s">
        <v>60</v>
      </c>
      <c r="H25" s="53">
        <f>B29</f>
        <v>20</v>
      </c>
    </row>
    <row r="26" ht="15.75" customHeight="1">
      <c r="G26" s="56" t="s">
        <v>154</v>
      </c>
      <c r="H26" s="56"/>
      <c r="I26" s="56"/>
      <c r="J26" s="56"/>
    </row>
    <row r="27" ht="39.75" customHeight="1">
      <c r="A27" s="57" t="s">
        <v>157</v>
      </c>
      <c r="B27" s="81" t="s">
        <v>158</v>
      </c>
      <c r="C27" s="26"/>
      <c r="D27" s="26"/>
      <c r="E27" s="26"/>
      <c r="F27" s="26"/>
      <c r="G27" s="26"/>
      <c r="H27" s="29"/>
      <c r="K27" s="47" t="s">
        <v>162</v>
      </c>
    </row>
    <row r="28" ht="69.75" customHeight="1">
      <c r="A28" s="57" t="s">
        <v>163</v>
      </c>
      <c r="B28" s="81" t="s">
        <v>165</v>
      </c>
      <c r="C28" s="26"/>
      <c r="D28" s="26"/>
      <c r="E28" s="26"/>
      <c r="F28" s="26"/>
      <c r="G28" s="26"/>
      <c r="H28" s="29"/>
    </row>
    <row r="29" ht="15.75" customHeight="1">
      <c r="A29" s="65" t="s">
        <v>92</v>
      </c>
      <c r="B29" s="83">
        <v>20.0</v>
      </c>
      <c r="C29" s="26"/>
      <c r="D29" s="26"/>
      <c r="E29" s="26"/>
      <c r="F29" s="26"/>
      <c r="G29" s="26"/>
      <c r="H29" s="29"/>
    </row>
    <row r="30" ht="15.75" customHeight="1"/>
    <row r="31" ht="15.75" customHeight="1"/>
    <row r="32" ht="15.75" customHeight="1">
      <c r="A32" s="72" t="s">
        <v>178</v>
      </c>
      <c r="G32" s="82" t="s">
        <v>60</v>
      </c>
      <c r="H32" s="53">
        <f>B36</f>
        <v>10</v>
      </c>
    </row>
    <row r="33" ht="15.75" customHeight="1">
      <c r="A33" s="11" t="s">
        <v>183</v>
      </c>
      <c r="G33" s="11" t="s">
        <v>184</v>
      </c>
    </row>
    <row r="34">
      <c r="A34" s="57" t="s">
        <v>188</v>
      </c>
      <c r="B34" s="79" t="s">
        <v>189</v>
      </c>
      <c r="C34" s="26"/>
      <c r="D34" s="26"/>
      <c r="E34" s="26"/>
      <c r="F34" s="26"/>
      <c r="G34" s="26"/>
      <c r="H34" s="29"/>
      <c r="K34" s="47" t="s">
        <v>204</v>
      </c>
    </row>
    <row r="35">
      <c r="A35" s="57" t="s">
        <v>205</v>
      </c>
      <c r="B35" s="81" t="s">
        <v>206</v>
      </c>
      <c r="C35" s="26"/>
      <c r="D35" s="26"/>
      <c r="E35" s="26"/>
      <c r="F35" s="26"/>
      <c r="G35" s="26"/>
      <c r="H35" s="29"/>
    </row>
    <row r="36" ht="15.75" customHeight="1">
      <c r="A36" s="65" t="s">
        <v>92</v>
      </c>
      <c r="B36" s="83">
        <v>10.0</v>
      </c>
      <c r="C36" s="26"/>
      <c r="D36" s="26"/>
      <c r="E36" s="26"/>
      <c r="F36" s="26"/>
      <c r="G36" s="26"/>
      <c r="H36" s="29"/>
    </row>
    <row r="37" ht="15.75" customHeight="1"/>
    <row r="38" ht="15.75" customHeight="1"/>
    <row r="39" ht="15.75" customHeight="1">
      <c r="A39" s="72" t="s">
        <v>207</v>
      </c>
      <c r="G39" s="82" t="s">
        <v>60</v>
      </c>
      <c r="H39" s="53">
        <f>B41</f>
        <v>20</v>
      </c>
    </row>
    <row r="40" ht="15.75" customHeight="1">
      <c r="G40" s="56" t="s">
        <v>211</v>
      </c>
    </row>
    <row r="41" ht="15.75" customHeight="1">
      <c r="A41" s="65" t="s">
        <v>92</v>
      </c>
      <c r="B41" s="83">
        <v>20.0</v>
      </c>
      <c r="C41" s="26"/>
      <c r="D41" s="26"/>
      <c r="E41" s="26"/>
      <c r="F41" s="26"/>
      <c r="G41" s="26"/>
      <c r="H41" s="29"/>
    </row>
    <row r="42" ht="15.75" customHeight="1"/>
    <row r="43" ht="15.75" customHeight="1"/>
    <row r="44" ht="15.75" customHeight="1">
      <c r="A44" s="72" t="s">
        <v>212</v>
      </c>
      <c r="G44" s="82" t="s">
        <v>60</v>
      </c>
      <c r="H44" s="86" t="str">
        <f>B46</f>
        <v>https://docs.google.com/document/d/17use-97wjmeYc0q0QAwJFfg7SXe-xX8s7zLMd40zwak/edit?usp=drive_link</v>
      </c>
    </row>
    <row r="45" ht="15.75" customHeight="1">
      <c r="G45" s="56" t="s">
        <v>63</v>
      </c>
    </row>
    <row r="46">
      <c r="A46" s="57" t="s">
        <v>213</v>
      </c>
      <c r="B46" s="79" t="s">
        <v>115</v>
      </c>
      <c r="C46" s="26"/>
      <c r="D46" s="26"/>
      <c r="E46" s="26"/>
      <c r="F46" s="26"/>
      <c r="G46" s="26"/>
      <c r="H46" s="29"/>
    </row>
    <row r="47" ht="15.75" customHeight="1">
      <c r="A47" s="65" t="s">
        <v>92</v>
      </c>
      <c r="B47" s="83">
        <v>20.0</v>
      </c>
      <c r="C47" s="26"/>
      <c r="D47" s="26"/>
      <c r="E47" s="26"/>
      <c r="F47" s="26"/>
      <c r="G47" s="26"/>
      <c r="H47" s="29"/>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20"/>
    <hyperlink r:id="rId3" ref="B34"/>
    <hyperlink r:id="rId4" ref="B46"/>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2.0</v>
      </c>
      <c r="D5" s="26"/>
      <c r="E5" s="26"/>
      <c r="F5" s="26"/>
      <c r="G5" s="29"/>
    </row>
    <row r="6" ht="15.75" customHeight="1">
      <c r="B6" s="95" t="s">
        <v>38</v>
      </c>
      <c r="C6" s="32">
        <f>H10+H21+H44+H68</f>
        <v>108</v>
      </c>
      <c r="D6" s="26"/>
      <c r="E6" s="26"/>
      <c r="F6" s="26"/>
      <c r="G6" s="29"/>
      <c r="I6" s="10"/>
    </row>
    <row r="7" ht="15.75" customHeight="1">
      <c r="B7" s="95" t="s">
        <v>226</v>
      </c>
      <c r="C7" s="32">
        <f>B49+B60</f>
        <v>1</v>
      </c>
      <c r="D7" s="26"/>
      <c r="E7" s="26"/>
      <c r="F7" s="26"/>
      <c r="G7" s="29"/>
    </row>
    <row r="8">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98">
        <v>3.0</v>
      </c>
    </row>
    <row r="11" ht="15.75" customHeight="1">
      <c r="G11" s="56" t="s">
        <v>229</v>
      </c>
    </row>
    <row r="12" ht="15.75" customHeight="1">
      <c r="A12" s="61" t="s">
        <v>230</v>
      </c>
      <c r="B12" s="37" t="s">
        <v>231</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00" t="s">
        <v>233</v>
      </c>
      <c r="B15" s="89"/>
      <c r="C15" s="89"/>
      <c r="D15" s="89"/>
      <c r="E15" s="89"/>
      <c r="F15" s="89"/>
      <c r="G15" s="89"/>
      <c r="H15" s="90"/>
    </row>
    <row r="16" ht="15.75" customHeight="1">
      <c r="A16" s="91"/>
      <c r="B16" s="92"/>
      <c r="C16" s="92"/>
      <c r="D16" s="92"/>
      <c r="E16" s="92"/>
      <c r="F16" s="92"/>
      <c r="G16" s="92"/>
      <c r="H16" s="93"/>
    </row>
    <row r="17" ht="15.75" customHeight="1">
      <c r="A17" s="99" t="s">
        <v>234</v>
      </c>
      <c r="B17" s="26"/>
      <c r="C17" s="26"/>
      <c r="D17" s="26"/>
      <c r="E17" s="26"/>
      <c r="F17" s="26"/>
      <c r="G17" s="26"/>
      <c r="H17" s="29"/>
    </row>
    <row r="18" ht="15.75" customHeight="1">
      <c r="A18" s="100" t="s">
        <v>235</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60</v>
      </c>
      <c r="H21" s="98">
        <f>SUM(D39:H42)</f>
        <v>60</v>
      </c>
      <c r="I21" s="10"/>
    </row>
    <row r="22" ht="15.75" customHeight="1">
      <c r="G22" s="56" t="s">
        <v>237</v>
      </c>
    </row>
    <row r="23" ht="15.75" customHeight="1">
      <c r="A23" s="61" t="s">
        <v>238</v>
      </c>
      <c r="B23" s="83" t="s">
        <v>56</v>
      </c>
      <c r="C23" s="26"/>
      <c r="D23" s="26"/>
      <c r="E23" s="26"/>
      <c r="F23" s="26"/>
      <c r="G23" s="26"/>
      <c r="H23" s="29"/>
    </row>
    <row r="24" ht="15.75" customHeight="1">
      <c r="A24" s="61" t="s">
        <v>238</v>
      </c>
      <c r="B24" s="83" t="s">
        <v>39</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IFERROR(__xludf.DUMMYFUNCTION("FILTER('Diseño'!D:D,'Diseño'!H:H=$C$5)"),"Introducción a la comunicación asertiva")</f>
        <v>Introducción a la comunicación asertiva</v>
      </c>
      <c r="C28" s="29"/>
      <c r="D28" s="32" t="str">
        <f>IFERROR(__xludf.DUMMYFUNCTION("FILTER('Diseño'!E:E,'Diseño'!H:H=$C$5)"),"Conceptos clave")</f>
        <v>Conceptos clave</v>
      </c>
      <c r="E28" s="29"/>
      <c r="F28" s="32" t="str">
        <f>IFERROR(__xludf.DUMMYFUNCTION("FILTER('Diseño'!F:F,'Diseño'!H:H=$C$5)"),"definición")</f>
        <v>definición</v>
      </c>
      <c r="G28" s="26"/>
      <c r="H28" s="29"/>
    </row>
    <row r="29" ht="15.75" customHeight="1">
      <c r="A29" s="35">
        <v>2.0</v>
      </c>
      <c r="B29" s="32" t="str">
        <f>IFERROR(__xludf.DUMMYFUNCTION("""COMPUTED_VALUE"""),"Introducción a la comunicación asertiva")</f>
        <v>Introducción a la comunicación asertiva</v>
      </c>
      <c r="C29" s="29"/>
      <c r="D29" s="32" t="str">
        <f>IFERROR(__xludf.DUMMYFUNCTION("""COMPUTED_VALUE"""),"Conceptos clave")</f>
        <v>Conceptos clave</v>
      </c>
      <c r="E29" s="29"/>
      <c r="F29" s="32" t="str">
        <f>IFERROR(__xludf.DUMMYFUNCTION("""COMPUTED_VALUE"""),"diferencias pasiva/agresiva/asertiva")</f>
        <v>diferencias pasiva/agresiva/asertiva</v>
      </c>
      <c r="G29" s="26"/>
      <c r="H29" s="29"/>
    </row>
    <row r="30" ht="15.75" customHeight="1">
      <c r="A30" s="35">
        <v>3.0</v>
      </c>
      <c r="B30" s="32" t="str">
        <f>IFERROR(__xludf.DUMMYFUNCTION("""COMPUTED_VALUE"""),"Introducción a la comunicación asertiva")</f>
        <v>Introducción a la comunicación asertiva</v>
      </c>
      <c r="C30" s="29"/>
      <c r="D30" s="32" t="str">
        <f>IFERROR(__xludf.DUMMYFUNCTION("""COMPUTED_VALUE"""),"Valor profesional")</f>
        <v>Valor profesional</v>
      </c>
      <c r="E30" s="29"/>
      <c r="F30" s="32" t="str">
        <f>IFERROR(__xludf.DUMMYFUNCTION("""COMPUTED_VALUE"""),"impacto en equipos")</f>
        <v>impacto en equipos</v>
      </c>
      <c r="G30" s="26"/>
      <c r="H30" s="29"/>
    </row>
    <row r="31" ht="15.75" customHeight="1">
      <c r="A31" s="35">
        <v>4.0</v>
      </c>
      <c r="B31" s="32" t="str">
        <f>IFERROR(__xludf.DUMMYFUNCTION("""COMPUTED_VALUE"""),"Introducción a la comunicación asertiva")</f>
        <v>Introducción a la comunicación asertiva</v>
      </c>
      <c r="C31" s="29"/>
      <c r="D31" s="32" t="str">
        <f>IFERROR(__xludf.DUMMYFUNCTION("""COMPUTED_VALUE"""),"Valor profesional")</f>
        <v>Valor profesional</v>
      </c>
      <c r="E31" s="29"/>
      <c r="F31" s="32" t="str">
        <f>IFERROR(__xludf.DUMMYFUNCTION("""COMPUTED_VALUE"""),"Aplicacion en tecnologia")</f>
        <v>Aplicacion en tecnologia</v>
      </c>
      <c r="G31" s="26"/>
      <c r="H31" s="29"/>
    </row>
    <row r="32" ht="15.75" customHeight="1">
      <c r="A32" s="35">
        <v>5.0</v>
      </c>
      <c r="B32" s="32" t="str">
        <f>IFERROR(__xludf.DUMMYFUNCTION("""COMPUTED_VALUE"""),"Introducción a la comunicación asertiva")</f>
        <v>Introducción a la comunicación asertiva</v>
      </c>
      <c r="C32" s="29"/>
      <c r="D32" s="32" t="str">
        <f>IFERROR(__xludf.DUMMYFUNCTION("""COMPUTED_VALUE"""),"Autoevaluación")</f>
        <v>Autoevaluación</v>
      </c>
      <c r="E32" s="29"/>
      <c r="F32" s="32" t="str">
        <f>IFERROR(__xludf.DUMMYFUNCTION("""COMPUTED_VALUE"""),"instrumento de estilo")</f>
        <v>instrumento de estilo</v>
      </c>
      <c r="G32" s="26"/>
      <c r="H32" s="29"/>
    </row>
    <row r="33" ht="15.75" customHeight="1">
      <c r="A33" s="35">
        <v>6.0</v>
      </c>
      <c r="B33" s="32" t="str">
        <f>IFERROR(__xludf.DUMMYFUNCTION("""COMPUTED_VALUE"""),"Introducción a la comunicación asertiva")</f>
        <v>Introducción a la comunicación asertiva</v>
      </c>
      <c r="C33" s="29"/>
      <c r="D33" s="32" t="str">
        <f>IFERROR(__xludf.DUMMYFUNCTION("""COMPUTED_VALUE"""),"Autoevaluación")</f>
        <v>Autoevaluación</v>
      </c>
      <c r="E33" s="29"/>
      <c r="F33" s="32" t="str">
        <f>IFERROR(__xludf.DUMMYFUNCTION("""COMPUTED_VALUE"""),"objetivos SMART personales")</f>
        <v>objetivos SMART personales</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32"/>
      <c r="E41" s="26"/>
      <c r="F41" s="26"/>
      <c r="G41" s="26"/>
      <c r="H41" s="29"/>
      <c r="I41" s="35" t="str">
        <f t="shared" si="1"/>
        <v>Correcto</v>
      </c>
    </row>
    <row r="42" ht="15.75" customHeight="1">
      <c r="A42" s="35" t="s">
        <v>252</v>
      </c>
      <c r="B42" s="35" t="s">
        <v>248</v>
      </c>
      <c r="C42" s="35">
        <v>30.0</v>
      </c>
      <c r="D42" s="83">
        <v>25.0</v>
      </c>
      <c r="E42" s="26"/>
      <c r="F42" s="26"/>
      <c r="G42" s="26"/>
      <c r="H42" s="29"/>
      <c r="I42" s="35" t="str">
        <f t="shared" si="1"/>
        <v>Correcto</v>
      </c>
    </row>
    <row r="43" ht="15.75" customHeight="1"/>
    <row r="44" ht="15.75" customHeight="1">
      <c r="A44" s="97" t="s">
        <v>253</v>
      </c>
      <c r="G44" s="82" t="s">
        <v>60</v>
      </c>
      <c r="H44" s="107">
        <f>B50</f>
        <v>40</v>
      </c>
    </row>
    <row r="45" ht="15.75" customHeight="1">
      <c r="G45" s="56" t="s">
        <v>254</v>
      </c>
    </row>
    <row r="46" ht="15.75" customHeight="1">
      <c r="A46" s="56" t="s">
        <v>255</v>
      </c>
    </row>
    <row r="47">
      <c r="A47" s="61" t="s">
        <v>256</v>
      </c>
      <c r="B47" s="83" t="s">
        <v>24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40.0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00" t="s">
        <v>260</v>
      </c>
      <c r="B53" s="89"/>
      <c r="C53" s="89"/>
      <c r="D53" s="89"/>
      <c r="E53" s="89"/>
      <c r="F53" s="89"/>
      <c r="G53" s="89"/>
      <c r="H53" s="90"/>
    </row>
    <row r="54" ht="15.75" customHeight="1">
      <c r="A54" s="110"/>
      <c r="H54" s="111"/>
    </row>
    <row r="55" ht="15.7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5</v>
      </c>
    </row>
    <row r="69" ht="15.75" customHeight="1">
      <c r="G69" s="56" t="s">
        <v>267</v>
      </c>
    </row>
    <row r="70" ht="15.75" customHeight="1">
      <c r="A70" s="61" t="s">
        <v>60</v>
      </c>
      <c r="B70" s="108">
        <v>5.0</v>
      </c>
      <c r="C70" s="26"/>
      <c r="D70" s="26"/>
      <c r="E70" s="26"/>
      <c r="F70" s="26"/>
      <c r="G70" s="26"/>
      <c r="H70" s="29"/>
    </row>
    <row r="71" ht="15.75" customHeight="1">
      <c r="A71" s="105" t="s">
        <v>268</v>
      </c>
      <c r="B71" s="26"/>
      <c r="C71" s="26"/>
      <c r="D71" s="26"/>
      <c r="E71" s="26"/>
      <c r="F71" s="26"/>
      <c r="G71" s="26"/>
      <c r="H71" s="29"/>
    </row>
    <row r="72" ht="15.75" customHeight="1">
      <c r="A72" s="100" t="s">
        <v>269</v>
      </c>
      <c r="B72" s="89"/>
      <c r="C72" s="89"/>
      <c r="D72" s="89"/>
      <c r="E72" s="89"/>
      <c r="F72" s="89"/>
      <c r="G72" s="89"/>
      <c r="H72" s="90"/>
    </row>
    <row r="73" ht="1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3.0</v>
      </c>
      <c r="D5" s="26"/>
      <c r="E5" s="26"/>
      <c r="F5" s="26"/>
      <c r="G5" s="29"/>
    </row>
    <row r="6" ht="15.75" customHeight="1">
      <c r="B6" s="95" t="s">
        <v>38</v>
      </c>
      <c r="C6" s="32">
        <f>H10+H21+H44+H68</f>
        <v>105</v>
      </c>
      <c r="D6" s="26"/>
      <c r="E6" s="26"/>
      <c r="F6" s="26"/>
      <c r="G6" s="29"/>
      <c r="I6" s="10"/>
    </row>
    <row r="7" ht="15.75" customHeight="1">
      <c r="B7" s="95" t="s">
        <v>226</v>
      </c>
      <c r="C7" s="32">
        <f>B49+B60</f>
        <v>1</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37" t="s">
        <v>261</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3" t="s">
        <v>263</v>
      </c>
      <c r="B15" s="89"/>
      <c r="C15" s="89"/>
      <c r="D15" s="89"/>
      <c r="E15" s="89"/>
      <c r="F15" s="89"/>
      <c r="G15" s="89"/>
      <c r="H15" s="90"/>
    </row>
    <row r="16" ht="15.75" customHeight="1">
      <c r="A16" s="91"/>
      <c r="B16" s="92"/>
      <c r="C16" s="92"/>
      <c r="D16" s="92"/>
      <c r="E16" s="92"/>
      <c r="F16" s="92"/>
      <c r="G16" s="92"/>
      <c r="H16" s="93"/>
    </row>
    <row r="17" ht="15.75" customHeight="1">
      <c r="A17" s="99" t="s">
        <v>234</v>
      </c>
      <c r="B17" s="26"/>
      <c r="C17" s="26"/>
      <c r="D17" s="26"/>
      <c r="E17" s="26"/>
      <c r="F17" s="26"/>
      <c r="G17" s="26"/>
      <c r="H17" s="29"/>
    </row>
    <row r="18" ht="15.75" customHeight="1">
      <c r="A18" s="113" t="s">
        <v>265</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60</v>
      </c>
      <c r="H21" s="107">
        <f>SUM(D39:H42)</f>
        <v>60</v>
      </c>
      <c r="I21" s="10"/>
    </row>
    <row r="22" ht="15.75" customHeight="1">
      <c r="G22" s="56" t="s">
        <v>237</v>
      </c>
    </row>
    <row r="23" ht="15.75" customHeight="1">
      <c r="A23" s="61" t="s">
        <v>238</v>
      </c>
      <c r="B23" s="83" t="s">
        <v>97</v>
      </c>
      <c r="C23" s="26"/>
      <c r="D23" s="26"/>
      <c r="E23" s="26"/>
      <c r="F23" s="26"/>
      <c r="G23" s="26"/>
      <c r="H23" s="29"/>
    </row>
    <row r="24" ht="15.75" customHeight="1">
      <c r="A24" s="61" t="s">
        <v>238</v>
      </c>
      <c r="B24" s="83" t="s">
        <v>39</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IFERROR(__xludf.DUMMYFUNCTION("FILTER('Diseño'!D:D,'Diseño'!H:H=$C$5)"),"Fundamentos del proceso comunicativo")</f>
        <v>Fundamentos del proceso comunicativo</v>
      </c>
      <c r="C28" s="29"/>
      <c r="D28" s="32" t="str">
        <f>IFERROR(__xludf.DUMMYFUNCTION("FILTER('Diseño'!E:E,'Diseño'!H:H=$C$5)"),"Elementos del proceso")</f>
        <v>Elementos del proceso</v>
      </c>
      <c r="E28" s="29"/>
      <c r="F28" s="32" t="str">
        <f>IFERROR(__xludf.DUMMYFUNCTION("FILTER('Diseño'!F:F,'Diseño'!H:H=$C$5)"),"emisor/mensaje")</f>
        <v>emisor/mensaje</v>
      </c>
      <c r="G28" s="26"/>
      <c r="H28" s="29"/>
    </row>
    <row r="29" ht="15.75" customHeight="1">
      <c r="A29" s="35">
        <v>2.0</v>
      </c>
      <c r="B29" s="32" t="str">
        <f>IFERROR(__xludf.DUMMYFUNCTION("""COMPUTED_VALUE"""),"Fundamentos del proceso comunicativo")</f>
        <v>Fundamentos del proceso comunicativo</v>
      </c>
      <c r="C29" s="29"/>
      <c r="D29" s="32" t="str">
        <f>IFERROR(__xludf.DUMMYFUNCTION("""COMPUTED_VALUE"""),"Elementos del proceso")</f>
        <v>Elementos del proceso</v>
      </c>
      <c r="E29" s="29"/>
      <c r="F29" s="32" t="str">
        <f>IFERROR(__xludf.DUMMYFUNCTION("""COMPUTED_VALUE"""),"canal/retroalimentación")</f>
        <v>canal/retroalimentación</v>
      </c>
      <c r="G29" s="26"/>
      <c r="H29" s="29"/>
    </row>
    <row r="30" ht="15.75" customHeight="1">
      <c r="A30" s="35">
        <v>3.0</v>
      </c>
      <c r="B30" s="32" t="str">
        <f>IFERROR(__xludf.DUMMYFUNCTION("""COMPUTED_VALUE"""),"Fundamentos del proceso comunicativo")</f>
        <v>Fundamentos del proceso comunicativo</v>
      </c>
      <c r="C30" s="29"/>
      <c r="D30" s="32" t="str">
        <f>IFERROR(__xludf.DUMMYFUNCTION("""COMPUTED_VALUE"""),"Funciones del lenguaje")</f>
        <v>Funciones del lenguaje</v>
      </c>
      <c r="E30" s="29"/>
      <c r="F30" s="32" t="str">
        <f>IFERROR(__xludf.DUMMYFUNCTION("""COMPUTED_VALUE"""),"referencial/expresiva")</f>
        <v>referencial/expresiva</v>
      </c>
      <c r="G30" s="26"/>
      <c r="H30" s="29"/>
    </row>
    <row r="31" ht="15.75" customHeight="1">
      <c r="A31" s="35">
        <v>4.0</v>
      </c>
      <c r="B31" s="32" t="str">
        <f>IFERROR(__xludf.DUMMYFUNCTION("""COMPUTED_VALUE"""),"Fundamentos del proceso comunicativo")</f>
        <v>Fundamentos del proceso comunicativo</v>
      </c>
      <c r="C31" s="29"/>
      <c r="D31" s="32" t="str">
        <f>IFERROR(__xludf.DUMMYFUNCTION("""COMPUTED_VALUE"""),"Funciones del lenguaje")</f>
        <v>Funciones del lenguaje</v>
      </c>
      <c r="E31" s="29"/>
      <c r="F31" s="32" t="str">
        <f>IFERROR(__xludf.DUMMYFUNCTION("""COMPUTED_VALUE"""),"fática/pragmática")</f>
        <v>fática/pragmática</v>
      </c>
      <c r="G31" s="26"/>
      <c r="H31" s="29"/>
    </row>
    <row r="32" ht="15.75" customHeight="1">
      <c r="A32" s="35">
        <v>5.0</v>
      </c>
      <c r="B32" s="32" t="str">
        <f>IFERROR(__xludf.DUMMYFUNCTION("""COMPUTED_VALUE"""),"Fundamentos del proceso comunicativo")</f>
        <v>Fundamentos del proceso comunicativo</v>
      </c>
      <c r="C32" s="29"/>
      <c r="D32" s="32" t="str">
        <f>IFERROR(__xludf.DUMMYFUNCTION("""COMPUTED_VALUE"""),"Barreras")</f>
        <v>Barreras</v>
      </c>
      <c r="E32" s="29"/>
      <c r="F32" s="32" t="str">
        <f>IFERROR(__xludf.DUMMYFUNCTION("""COMPUTED_VALUE"""),"jergas y sobrecarga")</f>
        <v>jergas y sobrecarga</v>
      </c>
      <c r="G32" s="26"/>
      <c r="H32" s="29"/>
    </row>
    <row r="33" ht="15.75" customHeight="1">
      <c r="A33" s="35">
        <v>6.0</v>
      </c>
      <c r="B33" s="32" t="str">
        <f>IFERROR(__xludf.DUMMYFUNCTION("""COMPUTED_VALUE"""),"Fundamentos del proceso comunicativo")</f>
        <v>Fundamentos del proceso comunicativo</v>
      </c>
      <c r="C33" s="29"/>
      <c r="D33" s="32" t="str">
        <f>IFERROR(__xludf.DUMMYFUNCTION("""COMPUTED_VALUE"""),"Barreras")</f>
        <v>Barreras</v>
      </c>
      <c r="E33" s="29"/>
      <c r="F33" s="32" t="str">
        <f>IFERROR(__xludf.DUMMYFUNCTION("""COMPUTED_VALUE"""),"mitigación (glosarios, resúmenes)")</f>
        <v>mitigación (glosarios, resúmenes)</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32"/>
      <c r="E41" s="26"/>
      <c r="F41" s="26"/>
      <c r="G41" s="26"/>
      <c r="H41" s="29"/>
      <c r="I41" s="35" t="str">
        <f t="shared" si="1"/>
        <v>Correcto</v>
      </c>
    </row>
    <row r="42" ht="15.75" customHeight="1">
      <c r="A42" s="35" t="s">
        <v>252</v>
      </c>
      <c r="B42" s="35" t="s">
        <v>248</v>
      </c>
      <c r="C42" s="35">
        <v>30.0</v>
      </c>
      <c r="D42" s="83">
        <v>25.0</v>
      </c>
      <c r="E42" s="26"/>
      <c r="F42" s="26"/>
      <c r="G42" s="26"/>
      <c r="H42" s="29"/>
      <c r="I42" s="35" t="str">
        <f t="shared" si="1"/>
        <v>Correcto</v>
      </c>
    </row>
    <row r="43" ht="15.75" customHeight="1"/>
    <row r="44" ht="15.75" customHeight="1">
      <c r="A44" s="97" t="s">
        <v>253</v>
      </c>
      <c r="G44" s="82" t="s">
        <v>60</v>
      </c>
      <c r="H44" s="107">
        <f>B50</f>
        <v>35</v>
      </c>
    </row>
    <row r="45" ht="15.75" customHeight="1">
      <c r="G45" s="56" t="s">
        <v>254</v>
      </c>
    </row>
    <row r="46" ht="15.75" customHeight="1">
      <c r="A46" s="56" t="s">
        <v>255</v>
      </c>
    </row>
    <row r="47">
      <c r="A47" s="61" t="s">
        <v>256</v>
      </c>
      <c r="B47" s="83" t="s">
        <v>24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35.0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00" t="s">
        <v>274</v>
      </c>
      <c r="B53" s="89"/>
      <c r="C53" s="89"/>
      <c r="D53" s="89"/>
      <c r="E53" s="89"/>
      <c r="F53" s="89"/>
      <c r="G53" s="89"/>
      <c r="H53" s="90"/>
    </row>
    <row r="54" ht="15.75" customHeight="1">
      <c r="A54" s="110"/>
      <c r="H54" s="111"/>
    </row>
    <row r="55" ht="15.7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5</v>
      </c>
    </row>
    <row r="69" ht="15.75" customHeight="1">
      <c r="G69" s="56" t="s">
        <v>267</v>
      </c>
    </row>
    <row r="70" ht="15.75" customHeight="1">
      <c r="A70" s="61" t="s">
        <v>60</v>
      </c>
      <c r="B70" s="108">
        <v>5.0</v>
      </c>
      <c r="C70" s="26"/>
      <c r="D70" s="26"/>
      <c r="E70" s="26"/>
      <c r="F70" s="26"/>
      <c r="G70" s="26"/>
      <c r="H70" s="29"/>
    </row>
    <row r="71" ht="15.75" customHeight="1">
      <c r="A71" s="105" t="s">
        <v>268</v>
      </c>
      <c r="B71" s="26"/>
      <c r="C71" s="26"/>
      <c r="D71" s="26"/>
      <c r="E71" s="26"/>
      <c r="F71" s="26"/>
      <c r="G71" s="26"/>
      <c r="H71" s="29"/>
    </row>
    <row r="72" ht="15.75" customHeight="1">
      <c r="A72" s="88" t="s">
        <v>275</v>
      </c>
      <c r="B72" s="89"/>
      <c r="C72" s="89"/>
      <c r="D72" s="89"/>
      <c r="E72" s="89"/>
      <c r="F72" s="89"/>
      <c r="G72" s="89"/>
      <c r="H72" s="90"/>
    </row>
    <row r="73" ht="1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4.0</v>
      </c>
      <c r="D5" s="26"/>
      <c r="E5" s="26"/>
      <c r="F5" s="26"/>
      <c r="G5" s="29"/>
    </row>
    <row r="6" ht="15.75" customHeight="1">
      <c r="B6" s="95" t="s">
        <v>38</v>
      </c>
      <c r="C6" s="32">
        <f>H10+H21+H44+H68</f>
        <v>106</v>
      </c>
      <c r="D6" s="26"/>
      <c r="E6" s="26"/>
      <c r="F6" s="26"/>
      <c r="G6" s="29"/>
      <c r="I6" s="10"/>
    </row>
    <row r="7" ht="15.75" customHeight="1">
      <c r="B7" s="95" t="s">
        <v>226</v>
      </c>
      <c r="C7" s="32">
        <f>B49+B60</f>
        <v>1</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37" t="s">
        <v>271</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3" t="s">
        <v>272</v>
      </c>
      <c r="B15" s="89"/>
      <c r="C15" s="89"/>
      <c r="D15" s="89"/>
      <c r="E15" s="89"/>
      <c r="F15" s="89"/>
      <c r="G15" s="89"/>
      <c r="H15" s="90"/>
    </row>
    <row r="16" ht="15.75" customHeight="1">
      <c r="A16" s="91"/>
      <c r="B16" s="92"/>
      <c r="C16" s="92"/>
      <c r="D16" s="92"/>
      <c r="E16" s="92"/>
      <c r="F16" s="92"/>
      <c r="G16" s="92"/>
      <c r="H16" s="93"/>
    </row>
    <row r="17" ht="15.75" customHeight="1">
      <c r="A17" s="99" t="s">
        <v>234</v>
      </c>
      <c r="B17" s="26"/>
      <c r="C17" s="26"/>
      <c r="D17" s="26"/>
      <c r="E17" s="26"/>
      <c r="F17" s="26"/>
      <c r="G17" s="26"/>
      <c r="H17" s="29"/>
    </row>
    <row r="18" ht="15.75" customHeight="1">
      <c r="A18" s="113" t="s">
        <v>273</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60</v>
      </c>
      <c r="H21" s="107">
        <f>SUM(D39:H42)</f>
        <v>56</v>
      </c>
      <c r="I21" s="10"/>
    </row>
    <row r="22" ht="15.75" customHeight="1">
      <c r="G22" s="56" t="s">
        <v>237</v>
      </c>
    </row>
    <row r="23" ht="15.75" customHeight="1">
      <c r="A23" s="61" t="s">
        <v>238</v>
      </c>
      <c r="B23" s="83" t="s">
        <v>24</v>
      </c>
      <c r="C23" s="26"/>
      <c r="D23" s="26"/>
      <c r="E23" s="26"/>
      <c r="F23" s="26"/>
      <c r="G23" s="26"/>
      <c r="H23" s="29"/>
    </row>
    <row r="24" ht="15.75" customHeight="1">
      <c r="A24" s="61" t="s">
        <v>238</v>
      </c>
      <c r="B24" s="83" t="s">
        <v>97</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IFERROR(__xludf.DUMMYFUNCTION("FILTER('Diseño'!D:D,'Diseño'!H:H=$C$5)"),"Comunicación verbal y no verbal")</f>
        <v>Comunicación verbal y no verbal</v>
      </c>
      <c r="C28" s="29"/>
      <c r="D28" s="32" t="str">
        <f>IFERROR(__xludf.DUMMYFUNCTION("FILTER('Diseño'!E:E,'Diseño'!H:H=$C$5)"),"Lenguaje corporal")</f>
        <v>Lenguaje corporal</v>
      </c>
      <c r="E28" s="29"/>
      <c r="F28" s="32" t="str">
        <f>IFERROR(__xludf.DUMMYFUNCTION("FILTER('Diseño'!F:F,'Diseño'!H:H=$C$5)"),"postura/gestos")</f>
        <v>postura/gestos</v>
      </c>
      <c r="G28" s="26"/>
      <c r="H28" s="29"/>
    </row>
    <row r="29" ht="15.75" customHeight="1">
      <c r="A29" s="35">
        <v>2.0</v>
      </c>
      <c r="B29" s="32" t="str">
        <f>IFERROR(__xludf.DUMMYFUNCTION("""COMPUTED_VALUE"""),"Comunicación verbal y no verbal")</f>
        <v>Comunicación verbal y no verbal</v>
      </c>
      <c r="C29" s="29"/>
      <c r="D29" s="32" t="str">
        <f>IFERROR(__xludf.DUMMYFUNCTION("""COMPUTED_VALUE"""),"Lenguaje corporal")</f>
        <v>Lenguaje corporal</v>
      </c>
      <c r="E29" s="29"/>
      <c r="F29" s="32" t="str">
        <f>IFERROR(__xludf.DUMMYFUNCTION("""COMPUTED_VALUE"""),"microexpresiones")</f>
        <v>microexpresiones</v>
      </c>
      <c r="G29" s="26"/>
      <c r="H29" s="29"/>
    </row>
    <row r="30" ht="15.75" customHeight="1">
      <c r="A30" s="35">
        <v>3.0</v>
      </c>
      <c r="B30" s="32" t="str">
        <f>IFERROR(__xludf.DUMMYFUNCTION("""COMPUTED_VALUE"""),"Comunicación verbal y no verbal")</f>
        <v>Comunicación verbal y no verbal</v>
      </c>
      <c r="C30" s="29"/>
      <c r="D30" s="32" t="str">
        <f>IFERROR(__xludf.DUMMYFUNCTION("""COMPUTED_VALUE"""),"Paralenguaje")</f>
        <v>Paralenguaje</v>
      </c>
      <c r="E30" s="29"/>
      <c r="F30" s="32" t="str">
        <f>IFERROR(__xludf.DUMMYFUNCTION("""COMPUTED_VALUE"""),"microexpresiones")</f>
        <v>microexpresiones</v>
      </c>
      <c r="G30" s="26"/>
      <c r="H30" s="29"/>
    </row>
    <row r="31" ht="15.75" customHeight="1">
      <c r="A31" s="35">
        <v>4.0</v>
      </c>
      <c r="B31" s="32" t="str">
        <f>IFERROR(__xludf.DUMMYFUNCTION("""COMPUTED_VALUE"""),"Comunicación verbal y no verbal")</f>
        <v>Comunicación verbal y no verbal</v>
      </c>
      <c r="C31" s="29"/>
      <c r="D31" s="32" t="str">
        <f>IFERROR(__xludf.DUMMYFUNCTION("""COMPUTED_VALUE"""),"Paralenguaje")</f>
        <v>Paralenguaje</v>
      </c>
      <c r="E31" s="29"/>
      <c r="F31" s="32" t="str">
        <f>IFERROR(__xludf.DUMMYFUNCTION("""COMPUTED_VALUE"""),"tono/ritmo/pausas;")</f>
        <v>tono/ritmo/pausas;</v>
      </c>
      <c r="G31" s="26"/>
      <c r="H31" s="29"/>
    </row>
    <row r="32" ht="15.75" customHeight="1">
      <c r="A32" s="35">
        <v>5.0</v>
      </c>
      <c r="B32" s="32" t="str">
        <f>IFERROR(__xludf.DUMMYFUNCTION("""COMPUTED_VALUE"""),"Comunicación verbal y no verbal")</f>
        <v>Comunicación verbal y no verbal</v>
      </c>
      <c r="C32" s="29"/>
      <c r="D32" s="32" t="str">
        <f>IFERROR(__xludf.DUMMYFUNCTION("""COMPUTED_VALUE"""),"Virtual")</f>
        <v>Virtual</v>
      </c>
      <c r="E32" s="29"/>
      <c r="F32" s="32" t="str">
        <f>IFERROR(__xludf.DUMMYFUNCTION("""COMPUTED_VALUE"""),"señales en videollamada")</f>
        <v>señales en videollamada</v>
      </c>
      <c r="G32" s="26"/>
      <c r="H32" s="29"/>
    </row>
    <row r="33" ht="15.75" customHeight="1">
      <c r="A33" s="35">
        <v>6.0</v>
      </c>
      <c r="B33" s="32" t="str">
        <f>IFERROR(__xludf.DUMMYFUNCTION("""COMPUTED_VALUE"""),"Comunicación verbal y no verbal")</f>
        <v>Comunicación verbal y no verbal</v>
      </c>
      <c r="C33" s="29"/>
      <c r="D33" s="32" t="str">
        <f>IFERROR(__xludf.DUMMYFUNCTION("""COMPUTED_VALUE"""),"Virtual")</f>
        <v>Virtual</v>
      </c>
      <c r="E33" s="29"/>
      <c r="F33" s="32" t="str">
        <f>IFERROR(__xludf.DUMMYFUNCTION("""COMPUTED_VALUE"""),"presencia profesional en remoto")</f>
        <v>presencia profesional en remoto</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6.0</v>
      </c>
      <c r="E40" s="26"/>
      <c r="F40" s="26"/>
      <c r="G40" s="26"/>
      <c r="H40" s="29"/>
      <c r="I40" s="35" t="str">
        <f t="shared" si="1"/>
        <v>Correcto</v>
      </c>
    </row>
    <row r="41" ht="15.75" customHeight="1">
      <c r="A41" s="35" t="s">
        <v>250</v>
      </c>
      <c r="B41" s="35" t="s">
        <v>251</v>
      </c>
      <c r="C41" s="35">
        <v>10.0</v>
      </c>
      <c r="D41" s="32"/>
      <c r="E41" s="26"/>
      <c r="F41" s="26"/>
      <c r="G41" s="26"/>
      <c r="H41" s="29"/>
      <c r="I41" s="35" t="str">
        <f t="shared" si="1"/>
        <v>Correcto</v>
      </c>
    </row>
    <row r="42" ht="15.75" customHeight="1">
      <c r="A42" s="35" t="s">
        <v>252</v>
      </c>
      <c r="B42" s="35" t="s">
        <v>248</v>
      </c>
      <c r="C42" s="35">
        <v>30.0</v>
      </c>
      <c r="D42" s="83">
        <v>20.0</v>
      </c>
      <c r="E42" s="26"/>
      <c r="F42" s="26"/>
      <c r="G42" s="26"/>
      <c r="H42" s="29"/>
      <c r="I42" s="35" t="str">
        <f t="shared" si="1"/>
        <v>Correcto</v>
      </c>
    </row>
    <row r="43" ht="15.75" customHeight="1"/>
    <row r="44" ht="15.75" customHeight="1">
      <c r="A44" s="97" t="s">
        <v>253</v>
      </c>
      <c r="G44" s="82" t="s">
        <v>60</v>
      </c>
      <c r="H44" s="107">
        <f>B50</f>
        <v>40</v>
      </c>
    </row>
    <row r="45" ht="15.75" customHeight="1">
      <c r="G45" s="56" t="s">
        <v>254</v>
      </c>
    </row>
    <row r="46" ht="15.75" customHeight="1">
      <c r="A46" s="56" t="s">
        <v>255</v>
      </c>
    </row>
    <row r="47">
      <c r="A47" s="61" t="s">
        <v>256</v>
      </c>
      <c r="B47" s="83" t="s">
        <v>24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40.0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00" t="s">
        <v>277</v>
      </c>
      <c r="B53" s="89"/>
      <c r="C53" s="89"/>
      <c r="D53" s="89"/>
      <c r="E53" s="89"/>
      <c r="F53" s="89"/>
      <c r="G53" s="89"/>
      <c r="H53" s="90"/>
    </row>
    <row r="54" ht="15.75" customHeight="1">
      <c r="A54" s="110"/>
      <c r="H54" s="111"/>
    </row>
    <row r="55" ht="15.7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5</v>
      </c>
    </row>
    <row r="69" ht="15.75" customHeight="1">
      <c r="G69" s="56" t="s">
        <v>267</v>
      </c>
    </row>
    <row r="70" ht="15.75" customHeight="1">
      <c r="A70" s="61" t="s">
        <v>60</v>
      </c>
      <c r="B70" s="108">
        <v>5.0</v>
      </c>
      <c r="C70" s="26"/>
      <c r="D70" s="26"/>
      <c r="E70" s="26"/>
      <c r="F70" s="26"/>
      <c r="G70" s="26"/>
      <c r="H70" s="29"/>
    </row>
    <row r="71" ht="15.75" customHeight="1">
      <c r="A71" s="105" t="s">
        <v>268</v>
      </c>
      <c r="B71" s="26"/>
      <c r="C71" s="26"/>
      <c r="D71" s="26"/>
      <c r="E71" s="26"/>
      <c r="F71" s="26"/>
      <c r="G71" s="26"/>
      <c r="H71" s="29"/>
    </row>
    <row r="72" ht="15.75" customHeight="1">
      <c r="A72" s="113" t="s">
        <v>280</v>
      </c>
      <c r="B72" s="89"/>
      <c r="C72" s="89"/>
      <c r="D72" s="89"/>
      <c r="E72" s="89"/>
      <c r="F72" s="89"/>
      <c r="G72" s="89"/>
      <c r="H72" s="90"/>
    </row>
    <row r="73" ht="1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5.0</v>
      </c>
      <c r="D5" s="26"/>
      <c r="E5" s="26"/>
      <c r="F5" s="26"/>
      <c r="G5" s="29"/>
    </row>
    <row r="6" ht="15.75" customHeight="1">
      <c r="B6" s="95" t="s">
        <v>38</v>
      </c>
      <c r="C6" s="32">
        <f>H10+H21+H44+H68</f>
        <v>105</v>
      </c>
      <c r="D6" s="26"/>
      <c r="E6" s="26"/>
      <c r="F6" s="26"/>
      <c r="G6" s="29"/>
      <c r="I6" s="10"/>
    </row>
    <row r="7" ht="15.75" customHeight="1">
      <c r="B7" s="95" t="s">
        <v>226</v>
      </c>
      <c r="C7" s="32">
        <f>B49+B60</f>
        <v>1</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37" t="s">
        <v>276</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88" t="s">
        <v>278</v>
      </c>
      <c r="B15" s="89"/>
      <c r="C15" s="89"/>
      <c r="D15" s="89"/>
      <c r="E15" s="89"/>
      <c r="F15" s="89"/>
      <c r="G15" s="89"/>
      <c r="H15" s="90"/>
    </row>
    <row r="16" ht="15.75" customHeight="1">
      <c r="A16" s="91"/>
      <c r="B16" s="92"/>
      <c r="C16" s="92"/>
      <c r="D16" s="92"/>
      <c r="E16" s="92"/>
      <c r="F16" s="92"/>
      <c r="G16" s="92"/>
      <c r="H16" s="93"/>
    </row>
    <row r="17" ht="15.75" customHeight="1">
      <c r="A17" s="99" t="s">
        <v>234</v>
      </c>
      <c r="B17" s="26"/>
      <c r="C17" s="26"/>
      <c r="D17" s="26"/>
      <c r="E17" s="26"/>
      <c r="F17" s="26"/>
      <c r="G17" s="26"/>
      <c r="H17" s="29"/>
    </row>
    <row r="18" ht="15.75" customHeight="1">
      <c r="A18" s="113" t="s">
        <v>279</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60</v>
      </c>
      <c r="H21" s="107">
        <f>SUM(D39:H42)</f>
        <v>58</v>
      </c>
      <c r="I21" s="10"/>
    </row>
    <row r="22" ht="15.75" customHeight="1">
      <c r="G22" s="56" t="s">
        <v>237</v>
      </c>
    </row>
    <row r="23" ht="15.75" customHeight="1">
      <c r="A23" s="61" t="s">
        <v>238</v>
      </c>
      <c r="B23" s="83" t="s">
        <v>24</v>
      </c>
      <c r="C23" s="26"/>
      <c r="D23" s="26"/>
      <c r="E23" s="26"/>
      <c r="F23" s="26"/>
      <c r="G23" s="26"/>
      <c r="H23" s="29"/>
    </row>
    <row r="24" ht="15.75" customHeight="1">
      <c r="A24" s="61" t="s">
        <v>238</v>
      </c>
      <c r="B24" s="83" t="s">
        <v>149</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IFERROR(__xludf.DUMMYFUNCTION("FILTER('Diseño'!D:D,'Diseño'!H:H=$C$5)"),"Escucha activa y empatía")</f>
        <v>Escucha activa y empatía</v>
      </c>
      <c r="C28" s="29"/>
      <c r="D28" s="32" t="str">
        <f>IFERROR(__xludf.DUMMYFUNCTION("FILTER('Diseño'!E:E,'Diseño'!H:H=$C$5)"),"Técnicas de escucha")</f>
        <v>Técnicas de escucha</v>
      </c>
      <c r="E28" s="29"/>
      <c r="F28" s="32" t="str">
        <f>IFERROR(__xludf.DUMMYFUNCTION("FILTER('Diseño'!F:F,'Diseño'!H:H=$C$5)"),"parafraseo")</f>
        <v>parafraseo</v>
      </c>
      <c r="G28" s="26"/>
      <c r="H28" s="29"/>
    </row>
    <row r="29" ht="15.75" customHeight="1">
      <c r="A29" s="35">
        <v>2.0</v>
      </c>
      <c r="B29" s="32" t="str">
        <f>IFERROR(__xludf.DUMMYFUNCTION("""COMPUTED_VALUE"""),"Escucha activa y empatía")</f>
        <v>Escucha activa y empatía</v>
      </c>
      <c r="C29" s="29"/>
      <c r="D29" s="32" t="str">
        <f>IFERROR(__xludf.DUMMYFUNCTION("""COMPUTED_VALUE"""),"Técnicas de escucha")</f>
        <v>Técnicas de escucha</v>
      </c>
      <c r="E29" s="29"/>
      <c r="F29" s="32" t="str">
        <f>IFERROR(__xludf.DUMMYFUNCTION("""COMPUTED_VALUE"""),"preguntas aclaratorias")</f>
        <v>preguntas aclaratorias</v>
      </c>
      <c r="G29" s="26"/>
      <c r="H29" s="29"/>
    </row>
    <row r="30" ht="15.75" customHeight="1">
      <c r="A30" s="35">
        <v>3.0</v>
      </c>
      <c r="B30" s="32" t="str">
        <f>IFERROR(__xludf.DUMMYFUNCTION("""COMPUTED_VALUE"""),"Escucha activa y empatía")</f>
        <v>Escucha activa y empatía</v>
      </c>
      <c r="C30" s="29"/>
      <c r="D30" s="32" t="str">
        <f>IFERROR(__xludf.DUMMYFUNCTION("""COMPUTED_VALUE"""),"Empatía")</f>
        <v>Empatía</v>
      </c>
      <c r="E30" s="29"/>
      <c r="F30" s="32" t="str">
        <f>IFERROR(__xludf.DUMMYFUNCTION("""COMPUTED_VALUE"""),"cognitiva vs afectiva")</f>
        <v>cognitiva vs afectiva</v>
      </c>
      <c r="G30" s="26"/>
      <c r="H30" s="29"/>
    </row>
    <row r="31" ht="15.75" customHeight="1">
      <c r="A31" s="35">
        <v>4.0</v>
      </c>
      <c r="B31" s="32" t="str">
        <f>IFERROR(__xludf.DUMMYFUNCTION("""COMPUTED_VALUE"""),"Escucha activa y empatía")</f>
        <v>Escucha activa y empatía</v>
      </c>
      <c r="C31" s="29"/>
      <c r="D31" s="32" t="str">
        <f>IFERROR(__xludf.DUMMYFUNCTION("""COMPUTED_VALUE"""),"Empatía")</f>
        <v>Empatía</v>
      </c>
      <c r="E31" s="29"/>
      <c r="F31" s="32" t="str">
        <f>IFERROR(__xludf.DUMMYFUNCTION("""COMPUTED_VALUE"""),"ejercicios de perspectiva")</f>
        <v>ejercicios de perspectiva</v>
      </c>
      <c r="G31" s="26"/>
      <c r="H31" s="29"/>
    </row>
    <row r="32" ht="15.75" customHeight="1">
      <c r="A32" s="35">
        <v>5.0</v>
      </c>
      <c r="B32" s="32" t="str">
        <f>IFERROR(__xludf.DUMMYFUNCTION("""COMPUTED_VALUE"""),"Escucha activa y empatía")</f>
        <v>Escucha activa y empatía</v>
      </c>
      <c r="C32" s="29"/>
      <c r="D32" s="32" t="str">
        <f>IFERROR(__xludf.DUMMYFUNCTION("""COMPUTED_VALUE"""),"Corregir malentendidos")</f>
        <v>Corregir malentendidos</v>
      </c>
      <c r="E32" s="29"/>
      <c r="F32" s="32" t="str">
        <f>IFERROR(__xludf.DUMMYFUNCTION("""COMPUTED_VALUE"""),"señales tempranas")</f>
        <v>señales tempranas</v>
      </c>
      <c r="G32" s="26"/>
      <c r="H32" s="29"/>
    </row>
    <row r="33" ht="15.75" customHeight="1">
      <c r="A33" s="35">
        <v>6.0</v>
      </c>
      <c r="B33" s="32" t="str">
        <f>IFERROR(__xludf.DUMMYFUNCTION("""COMPUTED_VALUE"""),"Escucha activa y empatía")</f>
        <v>Escucha activa y empatía</v>
      </c>
      <c r="C33" s="29"/>
      <c r="D33" s="32" t="str">
        <f>IFERROR(__xludf.DUMMYFUNCTION("""COMPUTED_VALUE"""),"Corregir malentendidos")</f>
        <v>Corregir malentendidos</v>
      </c>
      <c r="E33" s="29"/>
      <c r="F33" s="32" t="str">
        <f>IFERROR(__xludf.DUMMYFUNCTION("""COMPUTED_VALUE"""),"protocolos de verificación")</f>
        <v>protocolos de verificación</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6.0</v>
      </c>
      <c r="E40" s="26"/>
      <c r="F40" s="26"/>
      <c r="G40" s="26"/>
      <c r="H40" s="29"/>
      <c r="I40" s="35" t="str">
        <f t="shared" si="1"/>
        <v>Correcto</v>
      </c>
    </row>
    <row r="41" ht="15.75" customHeight="1">
      <c r="A41" s="35" t="s">
        <v>250</v>
      </c>
      <c r="B41" s="35" t="s">
        <v>251</v>
      </c>
      <c r="C41" s="35">
        <v>10.0</v>
      </c>
      <c r="D41" s="32"/>
      <c r="E41" s="26"/>
      <c r="F41" s="26"/>
      <c r="G41" s="26"/>
      <c r="H41" s="29"/>
      <c r="I41" s="35" t="str">
        <f t="shared" si="1"/>
        <v>Correcto</v>
      </c>
    </row>
    <row r="42" ht="15.75" customHeight="1">
      <c r="A42" s="35" t="s">
        <v>252</v>
      </c>
      <c r="B42" s="35" t="s">
        <v>248</v>
      </c>
      <c r="C42" s="35">
        <v>30.0</v>
      </c>
      <c r="D42" s="83">
        <v>22.0</v>
      </c>
      <c r="E42" s="26"/>
      <c r="F42" s="26"/>
      <c r="G42" s="26"/>
      <c r="H42" s="29"/>
      <c r="I42" s="35" t="str">
        <f t="shared" si="1"/>
        <v>Correcto</v>
      </c>
    </row>
    <row r="43" ht="15.75" customHeight="1"/>
    <row r="44" ht="15.75" customHeight="1">
      <c r="A44" s="97" t="s">
        <v>253</v>
      </c>
      <c r="G44" s="82" t="s">
        <v>60</v>
      </c>
      <c r="H44" s="107">
        <f>B50</f>
        <v>37</v>
      </c>
    </row>
    <row r="45" ht="15.75" customHeight="1">
      <c r="G45" s="56" t="s">
        <v>254</v>
      </c>
    </row>
    <row r="46" ht="15.75" customHeight="1">
      <c r="A46" s="56" t="s">
        <v>255</v>
      </c>
    </row>
    <row r="47">
      <c r="A47" s="61" t="s">
        <v>256</v>
      </c>
      <c r="B47" s="83" t="s">
        <v>74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37.0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00" t="s">
        <v>281</v>
      </c>
      <c r="B53" s="89"/>
      <c r="C53" s="89"/>
      <c r="D53" s="89"/>
      <c r="E53" s="89"/>
      <c r="F53" s="89"/>
      <c r="G53" s="89"/>
      <c r="H53" s="90"/>
    </row>
    <row r="54" ht="15.75" customHeight="1">
      <c r="A54" s="110"/>
      <c r="H54" s="111"/>
    </row>
    <row r="55" ht="15.7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5</v>
      </c>
    </row>
    <row r="69" ht="15.75" customHeight="1">
      <c r="G69" s="56" t="s">
        <v>267</v>
      </c>
    </row>
    <row r="70" ht="15.75" customHeight="1">
      <c r="A70" s="61" t="s">
        <v>60</v>
      </c>
      <c r="B70" s="108">
        <v>5.0</v>
      </c>
      <c r="C70" s="26"/>
      <c r="D70" s="26"/>
      <c r="E70" s="26"/>
      <c r="F70" s="26"/>
      <c r="G70" s="26"/>
      <c r="H70" s="29"/>
    </row>
    <row r="71" ht="15.75" customHeight="1">
      <c r="A71" s="105" t="s">
        <v>268</v>
      </c>
      <c r="B71" s="26"/>
      <c r="C71" s="26"/>
      <c r="D71" s="26"/>
      <c r="E71" s="26"/>
      <c r="F71" s="26"/>
      <c r="G71" s="26"/>
      <c r="H71" s="29"/>
    </row>
    <row r="72" ht="15.75" customHeight="1">
      <c r="A72" s="113" t="s">
        <v>282</v>
      </c>
      <c r="B72" s="89"/>
      <c r="C72" s="89"/>
      <c r="D72" s="89"/>
      <c r="E72" s="89"/>
      <c r="F72" s="89"/>
      <c r="G72" s="89"/>
      <c r="H72" s="90"/>
    </row>
    <row r="73" ht="1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6.0</v>
      </c>
      <c r="D5" s="26"/>
      <c r="E5" s="26"/>
      <c r="F5" s="26"/>
      <c r="G5" s="29"/>
    </row>
    <row r="6" ht="15.75" customHeight="1">
      <c r="B6" s="95" t="s">
        <v>38</v>
      </c>
      <c r="C6" s="32">
        <f>H10+H21+H44+H68</f>
        <v>105</v>
      </c>
      <c r="D6" s="26"/>
      <c r="E6" s="26"/>
      <c r="F6" s="26"/>
      <c r="G6" s="29"/>
      <c r="I6" s="10"/>
    </row>
    <row r="7" ht="15.75" customHeight="1">
      <c r="B7" s="95" t="s">
        <v>226</v>
      </c>
      <c r="C7" s="32">
        <f>B49+B60</f>
        <v>1</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37" t="s">
        <v>283</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3" t="s">
        <v>284</v>
      </c>
      <c r="B15" s="89"/>
      <c r="C15" s="89"/>
      <c r="D15" s="89"/>
      <c r="E15" s="89"/>
      <c r="F15" s="89"/>
      <c r="G15" s="89"/>
      <c r="H15" s="90"/>
    </row>
    <row r="16" ht="15.75" customHeight="1">
      <c r="A16" s="91"/>
      <c r="B16" s="92"/>
      <c r="C16" s="92"/>
      <c r="D16" s="92"/>
      <c r="E16" s="92"/>
      <c r="F16" s="92"/>
      <c r="G16" s="92"/>
      <c r="H16" s="93"/>
    </row>
    <row r="17" ht="15.75" customHeight="1">
      <c r="A17" s="99" t="s">
        <v>234</v>
      </c>
      <c r="B17" s="26"/>
      <c r="C17" s="26"/>
      <c r="D17" s="26"/>
      <c r="E17" s="26"/>
      <c r="F17" s="26"/>
      <c r="G17" s="26"/>
      <c r="H17" s="29"/>
    </row>
    <row r="18" ht="15.75" customHeight="1">
      <c r="A18" s="113" t="s">
        <v>285</v>
      </c>
      <c r="B18" s="89"/>
      <c r="C18" s="89"/>
      <c r="D18" s="89"/>
      <c r="E18" s="89"/>
      <c r="F18" s="89"/>
      <c r="G18" s="89"/>
      <c r="H18" s="90"/>
    </row>
    <row r="19" ht="15.75" customHeight="1">
      <c r="A19" s="91"/>
      <c r="B19" s="92"/>
      <c r="C19" s="92"/>
      <c r="D19" s="92"/>
      <c r="E19" s="92"/>
      <c r="F19" s="92"/>
      <c r="G19" s="92"/>
      <c r="H19" s="93"/>
    </row>
    <row r="20" ht="15.75" customHeight="1"/>
    <row r="21" ht="15.75" customHeight="1">
      <c r="A21" s="97" t="s">
        <v>236</v>
      </c>
      <c r="G21" s="82" t="s">
        <v>60</v>
      </c>
      <c r="H21" s="107">
        <f>SUM(D39:H42)</f>
        <v>59</v>
      </c>
      <c r="I21" s="10"/>
    </row>
    <row r="22" ht="15.75" customHeight="1">
      <c r="G22" s="56" t="s">
        <v>237</v>
      </c>
    </row>
    <row r="23" ht="15.75" customHeight="1">
      <c r="A23" s="61" t="s">
        <v>238</v>
      </c>
      <c r="B23" s="83" t="s">
        <v>24</v>
      </c>
      <c r="C23" s="26"/>
      <c r="D23" s="26"/>
      <c r="E23" s="26"/>
      <c r="F23" s="26"/>
      <c r="G23" s="26"/>
      <c r="H23" s="29"/>
    </row>
    <row r="24" ht="15.75" customHeight="1">
      <c r="A24" s="61" t="s">
        <v>238</v>
      </c>
      <c r="B24" s="83" t="s">
        <v>97</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IFERROR(__xludf.DUMMYFUNCTION("FILTER('Diseño'!D:D,'Diseño'!H:H=$C$5)"),"Comunicación en equipos de desarrollo")</f>
        <v>Comunicación en equipos de desarrollo</v>
      </c>
      <c r="C28" s="29"/>
      <c r="D28" s="32" t="str">
        <f>IFERROR(__xludf.DUMMYFUNCTION("FILTER('Diseño'!E:E,'Diseño'!H:H=$C$5)"),"Roles y flujos:")</f>
        <v>Roles y flujos:</v>
      </c>
      <c r="E28" s="29"/>
      <c r="F28" s="32" t="str">
        <f>IFERROR(__xludf.DUMMYFUNCTION("FILTER('Diseño'!F:F,'Diseño'!H:H=$C$5)"),"dev/líder/QA;")</f>
        <v>dev/líder/QA;</v>
      </c>
      <c r="G28" s="26"/>
      <c r="H28" s="29"/>
    </row>
    <row r="29" ht="15.75" customHeight="1">
      <c r="A29" s="35">
        <v>2.0</v>
      </c>
      <c r="B29" s="32" t="str">
        <f>IFERROR(__xludf.DUMMYFUNCTION("""COMPUTED_VALUE"""),"Comunicación en equipos de desarrollo")</f>
        <v>Comunicación en equipos de desarrollo</v>
      </c>
      <c r="C29" s="29"/>
      <c r="D29" s="32" t="str">
        <f>IFERROR(__xludf.DUMMYFUNCTION("""COMPUTED_VALUE"""),"Roles y flujos:")</f>
        <v>Roles y flujos:</v>
      </c>
      <c r="E29" s="29"/>
      <c r="F29" s="32" t="str">
        <f>IFERROR(__xludf.DUMMYFUNCTION("""COMPUTED_VALUE"""),"comunicación formal vs informal")</f>
        <v>comunicación formal vs informal</v>
      </c>
      <c r="G29" s="26"/>
      <c r="H29" s="29"/>
    </row>
    <row r="30" ht="15.75" customHeight="1">
      <c r="A30" s="35">
        <v>3.0</v>
      </c>
      <c r="B30" s="32" t="str">
        <f>IFERROR(__xludf.DUMMYFUNCTION("""COMPUTED_VALUE"""),"Comunicación en equipos de desarrollo")</f>
        <v>Comunicación en equipos de desarrollo</v>
      </c>
      <c r="C30" s="29"/>
      <c r="D30" s="32" t="str">
        <f>IFERROR(__xludf.DUMMYFUNCTION("""COMPUTED_VALUE"""),"Ceremonias ágiles:")</f>
        <v>Ceremonias ágiles:</v>
      </c>
      <c r="E30" s="29"/>
      <c r="F30" s="32" t="str">
        <f>IFERROR(__xludf.DUMMYFUNCTION("""COMPUTED_VALUE"""),"stand-ups/retros")</f>
        <v>stand-ups/retros</v>
      </c>
      <c r="G30" s="26"/>
      <c r="H30" s="29"/>
    </row>
    <row r="31" ht="15.75" customHeight="1">
      <c r="A31" s="35">
        <v>4.0</v>
      </c>
      <c r="B31" s="32" t="str">
        <f>IFERROR(__xludf.DUMMYFUNCTION("""COMPUTED_VALUE"""),"Comunicación en equipos de desarrollo")</f>
        <v>Comunicación en equipos de desarrollo</v>
      </c>
      <c r="C31" s="29"/>
      <c r="D31" s="32" t="str">
        <f>IFERROR(__xludf.DUMMYFUNCTION("""COMPUTED_VALUE"""),"Ceremonias ágiles:")</f>
        <v>Ceremonias ágiles:</v>
      </c>
      <c r="E31" s="29"/>
      <c r="F31" s="32" t="str">
        <f>IFERROR(__xludf.DUMMYFUNCTION("""COMPUTED_VALUE"""),"facilitación eficaz")</f>
        <v>facilitación eficaz</v>
      </c>
      <c r="G31" s="26"/>
      <c r="H31" s="29"/>
    </row>
    <row r="32" ht="15.75" customHeight="1">
      <c r="A32" s="35">
        <v>5.0</v>
      </c>
      <c r="B32" s="32" t="str">
        <f>IFERROR(__xludf.DUMMYFUNCTION("""COMPUTED_VALUE"""),"Comunicación en equipos de desarrollo")</f>
        <v>Comunicación en equipos de desarrollo</v>
      </c>
      <c r="C32" s="29"/>
      <c r="D32" s="32" t="str">
        <f>IFERROR(__xludf.DUMMYFUNCTION("""COMPUTED_VALUE"""),"Code-review:")</f>
        <v>Code-review:</v>
      </c>
      <c r="E32" s="29"/>
      <c r="F32" s="32" t="str">
        <f>IFERROR(__xludf.DUMMYFUNCTION("""COMPUTED_VALUE"""),"feedback técnico accionable;")</f>
        <v>feedback técnico accionable;</v>
      </c>
      <c r="G32" s="26"/>
      <c r="H32" s="29"/>
    </row>
    <row r="33" ht="15.75" customHeight="1">
      <c r="A33" s="35">
        <v>6.0</v>
      </c>
      <c r="B33" s="32" t="str">
        <f>IFERROR(__xludf.DUMMYFUNCTION("""COMPUTED_VALUE"""),"Comunicación en equipos de desarrollo")</f>
        <v>Comunicación en equipos de desarrollo</v>
      </c>
      <c r="C33" s="29"/>
      <c r="D33" s="32" t="str">
        <f>IFERROR(__xludf.DUMMYFUNCTION("""COMPUTED_VALUE"""),"Code-review:")</f>
        <v>Code-review:</v>
      </c>
      <c r="E33" s="29"/>
      <c r="F33" s="32" t="str">
        <f>IFERROR(__xludf.DUMMYFUNCTION("""COMPUTED_VALUE"""),"seguimiento de PR")</f>
        <v>seguimiento de PR</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4.0</v>
      </c>
      <c r="E40" s="26"/>
      <c r="F40" s="26"/>
      <c r="G40" s="26"/>
      <c r="H40" s="29"/>
      <c r="I40" s="35" t="str">
        <f t="shared" si="1"/>
        <v>Correcto</v>
      </c>
    </row>
    <row r="41" ht="15.75" customHeight="1">
      <c r="A41" s="35" t="s">
        <v>250</v>
      </c>
      <c r="B41" s="35" t="s">
        <v>251</v>
      </c>
      <c r="C41" s="35">
        <v>10.0</v>
      </c>
      <c r="D41" s="32"/>
      <c r="E41" s="26"/>
      <c r="F41" s="26"/>
      <c r="G41" s="26"/>
      <c r="H41" s="29"/>
      <c r="I41" s="35" t="str">
        <f t="shared" si="1"/>
        <v>Correcto</v>
      </c>
    </row>
    <row r="42" ht="15.75" customHeight="1">
      <c r="A42" s="35" t="s">
        <v>252</v>
      </c>
      <c r="B42" s="35" t="s">
        <v>248</v>
      </c>
      <c r="C42" s="35">
        <v>30.0</v>
      </c>
      <c r="D42" s="83">
        <v>25.0</v>
      </c>
      <c r="E42" s="26"/>
      <c r="F42" s="26"/>
      <c r="G42" s="26"/>
      <c r="H42" s="29"/>
      <c r="I42" s="35" t="str">
        <f t="shared" si="1"/>
        <v>Correcto</v>
      </c>
    </row>
    <row r="43" ht="15.75" customHeight="1"/>
    <row r="44" ht="15.75" customHeight="1">
      <c r="A44" s="97" t="s">
        <v>253</v>
      </c>
      <c r="G44" s="82" t="s">
        <v>60</v>
      </c>
      <c r="H44" s="107">
        <f>B50</f>
        <v>36</v>
      </c>
    </row>
    <row r="45" ht="15.75" customHeight="1">
      <c r="G45" s="56" t="s">
        <v>254</v>
      </c>
    </row>
    <row r="46" ht="15.75" customHeight="1">
      <c r="A46" s="56" t="s">
        <v>255</v>
      </c>
    </row>
    <row r="47">
      <c r="A47" s="61" t="s">
        <v>256</v>
      </c>
      <c r="B47" s="83" t="s">
        <v>24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36.0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00" t="s">
        <v>292</v>
      </c>
      <c r="B53" s="89"/>
      <c r="C53" s="89"/>
      <c r="D53" s="89"/>
      <c r="E53" s="89"/>
      <c r="F53" s="89"/>
      <c r="G53" s="89"/>
      <c r="H53" s="90"/>
    </row>
    <row r="54" ht="15.75" customHeight="1">
      <c r="A54" s="110"/>
      <c r="H54" s="111"/>
    </row>
    <row r="55" ht="15.7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00"/>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5</v>
      </c>
    </row>
    <row r="69" ht="15.75" customHeight="1">
      <c r="G69" s="56" t="s">
        <v>267</v>
      </c>
    </row>
    <row r="70" ht="15.75" customHeight="1">
      <c r="A70" s="61" t="s">
        <v>60</v>
      </c>
      <c r="B70" s="108">
        <v>5.0</v>
      </c>
      <c r="C70" s="26"/>
      <c r="D70" s="26"/>
      <c r="E70" s="26"/>
      <c r="F70" s="26"/>
      <c r="G70" s="26"/>
      <c r="H70" s="29"/>
    </row>
    <row r="71" ht="15.75" customHeight="1">
      <c r="A71" s="105" t="s">
        <v>268</v>
      </c>
      <c r="B71" s="26"/>
      <c r="C71" s="26"/>
      <c r="D71" s="26"/>
      <c r="E71" s="26"/>
      <c r="F71" s="26"/>
      <c r="G71" s="26"/>
      <c r="H71" s="29"/>
    </row>
    <row r="72" ht="15.75" customHeight="1">
      <c r="A72" s="113" t="s">
        <v>297</v>
      </c>
      <c r="B72" s="89"/>
      <c r="C72" s="89"/>
      <c r="D72" s="89"/>
      <c r="E72" s="89"/>
      <c r="F72" s="89"/>
      <c r="G72" s="89"/>
      <c r="H72" s="90"/>
    </row>
    <row r="73" ht="1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7.0</v>
      </c>
      <c r="D5" s="26"/>
      <c r="E5" s="26"/>
      <c r="F5" s="26"/>
      <c r="G5" s="29"/>
    </row>
    <row r="6" ht="15.75" customHeight="1">
      <c r="B6" s="95" t="s">
        <v>38</v>
      </c>
      <c r="C6" s="83">
        <v>110.0</v>
      </c>
      <c r="D6" s="26"/>
      <c r="E6" s="26"/>
      <c r="F6" s="26"/>
      <c r="G6" s="29"/>
      <c r="I6" s="10"/>
    </row>
    <row r="7" ht="15.75" customHeight="1">
      <c r="B7" s="95" t="s">
        <v>226</v>
      </c>
      <c r="C7" s="83">
        <v>1.0</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83" t="s">
        <v>286</v>
      </c>
      <c r="C12" s="26"/>
      <c r="D12" s="26"/>
      <c r="E12" s="26"/>
      <c r="F12" s="26"/>
      <c r="G12" s="26"/>
      <c r="H12" s="29"/>
    </row>
    <row r="13" ht="15.75" customHeight="1">
      <c r="A13" s="65" t="s">
        <v>60</v>
      </c>
      <c r="B13" s="116">
        <v>5.0</v>
      </c>
      <c r="C13" s="92"/>
      <c r="D13" s="92"/>
      <c r="E13" s="92"/>
      <c r="F13" s="92"/>
      <c r="G13" s="92"/>
      <c r="H13" s="93"/>
    </row>
    <row r="14" ht="15.75" customHeight="1">
      <c r="A14" s="99" t="s">
        <v>232</v>
      </c>
      <c r="B14" s="26"/>
      <c r="C14" s="26"/>
      <c r="D14" s="26"/>
      <c r="E14" s="26"/>
      <c r="F14" s="26"/>
      <c r="G14" s="26"/>
      <c r="H14" s="29"/>
    </row>
    <row r="15" ht="15.75" customHeight="1">
      <c r="A15" s="117" t="s">
        <v>287</v>
      </c>
      <c r="H15" s="111"/>
    </row>
    <row r="16" ht="21.0" customHeight="1">
      <c r="A16" s="92"/>
      <c r="B16" s="92"/>
      <c r="C16" s="92"/>
      <c r="D16" s="92"/>
      <c r="E16" s="92"/>
      <c r="F16" s="92"/>
      <c r="G16" s="92"/>
      <c r="H16" s="93"/>
    </row>
    <row r="17" ht="15.75" customHeight="1">
      <c r="A17" s="99" t="s">
        <v>234</v>
      </c>
      <c r="B17" s="26"/>
      <c r="C17" s="26"/>
      <c r="D17" s="26"/>
      <c r="E17" s="26"/>
      <c r="F17" s="26"/>
      <c r="G17" s="26"/>
      <c r="H17" s="29"/>
    </row>
    <row r="18" ht="15.75" customHeight="1">
      <c r="A18" s="118" t="s">
        <v>289</v>
      </c>
      <c r="B18" s="89"/>
      <c r="C18" s="89"/>
      <c r="D18" s="89"/>
      <c r="E18" s="89"/>
      <c r="F18" s="89"/>
      <c r="G18" s="89"/>
      <c r="H18" s="90"/>
    </row>
    <row r="19" ht="27.75" customHeight="1">
      <c r="A19" s="91"/>
      <c r="B19" s="92"/>
      <c r="C19" s="92"/>
      <c r="D19" s="92"/>
      <c r="E19" s="92"/>
      <c r="F19" s="92"/>
      <c r="G19" s="92"/>
      <c r="H19" s="93"/>
    </row>
    <row r="20" ht="15.75" customHeight="1"/>
    <row r="21" ht="15.75" customHeight="1">
      <c r="A21" s="97" t="s">
        <v>236</v>
      </c>
      <c r="G21" s="82" t="s">
        <v>60</v>
      </c>
      <c r="H21" s="98">
        <f>SUM(D39:H42)</f>
        <v>60</v>
      </c>
      <c r="I21" s="10"/>
    </row>
    <row r="22" ht="15.75" customHeight="1">
      <c r="G22" s="56" t="s">
        <v>237</v>
      </c>
    </row>
    <row r="23" ht="15.75" customHeight="1">
      <c r="A23" s="61" t="s">
        <v>238</v>
      </c>
      <c r="B23" s="83" t="s">
        <v>74</v>
      </c>
      <c r="C23" s="26"/>
      <c r="D23" s="26"/>
      <c r="E23" s="26"/>
      <c r="F23" s="26"/>
      <c r="G23" s="26"/>
      <c r="H23" s="29"/>
    </row>
    <row r="24" ht="15.75" customHeight="1">
      <c r="A24" s="61" t="s">
        <v>238</v>
      </c>
      <c r="B24" s="83" t="s">
        <v>118</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IFERROR(__xludf.DUMMYFUNCTION("FILTER('Diseño'!D:D,'Diseño'!H:H=$C$5)"),"Comunicación con clientes y usuarios")</f>
        <v>Comunicación con clientes y usuarios</v>
      </c>
      <c r="C28" s="29"/>
      <c r="D28" s="32" t="str">
        <f>IFERROR(__xludf.DUMMYFUNCTION("FILTER('Diseño'!E:E,'Diseño'!H:H=$C$5)"),"Traducción técnica:")</f>
        <v>Traducción técnica:</v>
      </c>
      <c r="E28" s="29"/>
      <c r="F28" s="32" t="str">
        <f>IFERROR(__xludf.DUMMYFUNCTION("FILTER('Diseño'!F:F,'Diseño'!H:H=$C$5)"),"metáforas/visuales")</f>
        <v>metáforas/visuales</v>
      </c>
      <c r="G28" s="26"/>
      <c r="H28" s="29"/>
    </row>
    <row r="29" ht="15.75" customHeight="1">
      <c r="A29" s="35">
        <v>2.0</v>
      </c>
      <c r="B29" s="32" t="str">
        <f>IFERROR(__xludf.DUMMYFUNCTION("""COMPUTED_VALUE"""),"Comunicación con clientes y usuarios")</f>
        <v>Comunicación con clientes y usuarios</v>
      </c>
      <c r="C29" s="29"/>
      <c r="D29" s="32" t="str">
        <f>IFERROR(__xludf.DUMMYFUNCTION("""COMPUTED_VALUE"""),"Traducción técnica:")</f>
        <v>Traducción técnica:</v>
      </c>
      <c r="E29" s="29"/>
      <c r="F29" s="32" t="str">
        <f>IFERROR(__xludf.DUMMYFUNCTION("""COMPUTED_VALUE"""),"elevator pitch técnico → negocio")</f>
        <v>elevator pitch técnico → negocio</v>
      </c>
      <c r="G29" s="26"/>
      <c r="H29" s="29"/>
    </row>
    <row r="30" ht="15.75" customHeight="1">
      <c r="A30" s="35">
        <v>3.0</v>
      </c>
      <c r="B30" s="32" t="str">
        <f>IFERROR(__xludf.DUMMYFUNCTION("""COMPUTED_VALUE"""),"Comunicación con clientes y usuarios")</f>
        <v>Comunicación con clientes y usuarios</v>
      </c>
      <c r="C30" s="29"/>
      <c r="D30" s="32" t="str">
        <f>IFERROR(__xludf.DUMMYFUNCTION("""COMPUTED_VALUE"""),"Reuniones de requisitos:")</f>
        <v>Reuniones de requisitos:</v>
      </c>
      <c r="E30" s="29"/>
      <c r="F30" s="32" t="str">
        <f>IFERROR(__xludf.DUMMYFUNCTION("""COMPUTED_VALUE"""),"preguntas clave;")</f>
        <v>preguntas clave;</v>
      </c>
      <c r="G30" s="26"/>
      <c r="H30" s="29"/>
    </row>
    <row r="31" ht="15.75" customHeight="1">
      <c r="A31" s="35">
        <v>4.0</v>
      </c>
      <c r="B31" s="32" t="str">
        <f>IFERROR(__xludf.DUMMYFUNCTION("""COMPUTED_VALUE"""),"Comunicación con clientes y usuarios")</f>
        <v>Comunicación con clientes y usuarios</v>
      </c>
      <c r="C31" s="29"/>
      <c r="D31" s="32" t="str">
        <f>IFERROR(__xludf.DUMMYFUNCTION("""COMPUTED_VALUE"""),"Reuniones de requisitos:")</f>
        <v>Reuniones de requisitos:</v>
      </c>
      <c r="E31" s="29"/>
      <c r="F31" s="32" t="str">
        <f>IFERROR(__xludf.DUMMYFUNCTION("""COMPUTED_VALUE"""),"registro y confirmación")</f>
        <v>registro y confirmación</v>
      </c>
      <c r="G31" s="26"/>
      <c r="H31" s="29"/>
    </row>
    <row r="32" ht="15.75" customHeight="1">
      <c r="A32" s="35">
        <v>5.0</v>
      </c>
      <c r="B32" s="32" t="str">
        <f>IFERROR(__xludf.DUMMYFUNCTION("""COMPUTED_VALUE"""),"Comunicación con clientes y usuarios")</f>
        <v>Comunicación con clientes y usuarios</v>
      </c>
      <c r="C32" s="29"/>
      <c r="D32" s="32" t="str">
        <f>IFERROR(__xludf.DUMMYFUNCTION("""COMPUTED_VALUE"""),"Escritura para clientes:")</f>
        <v>Escritura para clientes:</v>
      </c>
      <c r="E32" s="29"/>
      <c r="F32" s="32" t="str">
        <f>IFERROR(__xludf.DUMMYFUNCTION("""COMPUTED_VALUE"""),"correos/reportes")</f>
        <v>correos/reportes</v>
      </c>
      <c r="G32" s="26"/>
      <c r="H32" s="29"/>
    </row>
    <row r="33" ht="15.75" customHeight="1">
      <c r="A33" s="35">
        <v>6.0</v>
      </c>
      <c r="B33" s="32" t="str">
        <f>IFERROR(__xludf.DUMMYFUNCTION("""COMPUTED_VALUE"""),"Comunicación con clientes y usuarios")</f>
        <v>Comunicación con clientes y usuarios</v>
      </c>
      <c r="C33" s="29"/>
      <c r="D33" s="32" t="str">
        <f>IFERROR(__xludf.DUMMYFUNCTION("""COMPUTED_VALUE"""),"Escritura para clientes:")</f>
        <v>Escritura para clientes:</v>
      </c>
      <c r="E33" s="29"/>
      <c r="F33" s="32" t="str">
        <f>IFERROR(__xludf.DUMMYFUNCTION("""COMPUTED_VALUE"""),"post-mortem claros")</f>
        <v>post-mortem claros</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83">
        <v>5.0</v>
      </c>
      <c r="E41" s="26"/>
      <c r="F41" s="26"/>
      <c r="G41" s="26"/>
      <c r="H41" s="29"/>
      <c r="I41" s="35" t="str">
        <f t="shared" si="1"/>
        <v>Correcto</v>
      </c>
    </row>
    <row r="42" ht="15.75" customHeight="1">
      <c r="A42" s="35" t="s">
        <v>252</v>
      </c>
      <c r="B42" s="35" t="s">
        <v>248</v>
      </c>
      <c r="C42" s="35">
        <v>30.0</v>
      </c>
      <c r="D42" s="83">
        <v>20.0</v>
      </c>
      <c r="E42" s="26"/>
      <c r="F42" s="26"/>
      <c r="G42" s="26"/>
      <c r="H42" s="29"/>
      <c r="I42" s="35" t="str">
        <f t="shared" si="1"/>
        <v>Correcto</v>
      </c>
    </row>
    <row r="43" ht="15.75" customHeight="1"/>
    <row r="44" ht="15.75" customHeight="1">
      <c r="A44" s="97" t="s">
        <v>253</v>
      </c>
      <c r="G44" s="82" t="s">
        <v>60</v>
      </c>
      <c r="H44" s="107">
        <f>B50</f>
        <v>35</v>
      </c>
    </row>
    <row r="45" ht="15.75" customHeight="1">
      <c r="G45" s="56" t="s">
        <v>254</v>
      </c>
    </row>
    <row r="46" ht="15.75" customHeight="1">
      <c r="A46" s="56" t="s">
        <v>255</v>
      </c>
    </row>
    <row r="47">
      <c r="A47" s="61" t="s">
        <v>256</v>
      </c>
      <c r="B47" s="83" t="s">
        <v>74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119">
        <v>35.0</v>
      </c>
      <c r="C50" s="26"/>
      <c r="D50" s="26"/>
      <c r="E50" s="26"/>
      <c r="F50" s="26"/>
      <c r="G50" s="26"/>
      <c r="H50" s="29"/>
    </row>
    <row r="51" ht="15.75" customHeight="1">
      <c r="A51" s="109"/>
      <c r="B51" s="10"/>
      <c r="C51" s="10"/>
      <c r="D51" s="10"/>
      <c r="E51" s="10"/>
      <c r="F51" s="10"/>
      <c r="G51" s="10"/>
      <c r="H51" s="10"/>
    </row>
    <row r="52" ht="15.75" customHeight="1">
      <c r="A52" s="99" t="s">
        <v>259</v>
      </c>
      <c r="B52" s="26"/>
      <c r="C52" s="26"/>
      <c r="D52" s="26"/>
      <c r="E52" s="26"/>
      <c r="F52" s="26"/>
      <c r="G52" s="26"/>
      <c r="H52" s="29"/>
    </row>
    <row r="53" ht="15.75" customHeight="1">
      <c r="A53" s="118" t="s">
        <v>293</v>
      </c>
      <c r="B53" s="89"/>
      <c r="C53" s="89"/>
      <c r="D53" s="89"/>
      <c r="E53" s="89"/>
      <c r="F53" s="89"/>
      <c r="G53" s="89"/>
      <c r="H53" s="90"/>
    </row>
    <row r="54" ht="15.75" customHeight="1">
      <c r="A54" s="110"/>
      <c r="H54" s="111"/>
    </row>
    <row r="55" ht="76.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98">
        <v>10.0</v>
      </c>
    </row>
    <row r="69" ht="15.75" customHeight="1">
      <c r="G69" s="56" t="s">
        <v>267</v>
      </c>
    </row>
    <row r="70" ht="15.75" customHeight="1">
      <c r="A70" s="61" t="s">
        <v>60</v>
      </c>
      <c r="B70" s="108">
        <v>10.0</v>
      </c>
      <c r="C70" s="26"/>
      <c r="D70" s="26"/>
      <c r="E70" s="26"/>
      <c r="F70" s="26"/>
      <c r="G70" s="26"/>
      <c r="H70" s="29"/>
    </row>
    <row r="71" ht="15.75" customHeight="1">
      <c r="A71" s="105" t="s">
        <v>268</v>
      </c>
      <c r="B71" s="26"/>
      <c r="C71" s="26"/>
      <c r="D71" s="26"/>
      <c r="E71" s="26"/>
      <c r="F71" s="26"/>
      <c r="G71" s="26"/>
      <c r="H71" s="29"/>
    </row>
    <row r="72" ht="15.75" customHeight="1">
      <c r="A72" s="118" t="s">
        <v>296</v>
      </c>
      <c r="B72" s="89"/>
      <c r="C72" s="89"/>
      <c r="D72" s="89"/>
      <c r="E72" s="89"/>
      <c r="F72" s="89"/>
      <c r="G72" s="89"/>
      <c r="H72" s="90"/>
    </row>
    <row r="73" ht="1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8.0</v>
      </c>
      <c r="D5" s="26"/>
      <c r="E5" s="26"/>
      <c r="F5" s="26"/>
      <c r="G5" s="29"/>
    </row>
    <row r="6" ht="15.75" customHeight="1">
      <c r="B6" s="95" t="s">
        <v>38</v>
      </c>
      <c r="C6" s="32">
        <f>H10+H21+H44+H68</f>
        <v>110</v>
      </c>
      <c r="D6" s="26"/>
      <c r="E6" s="26"/>
      <c r="F6" s="26"/>
      <c r="G6" s="29"/>
      <c r="I6" s="10"/>
    </row>
    <row r="7" ht="15.75" customHeight="1">
      <c r="B7" s="95" t="s">
        <v>226</v>
      </c>
      <c r="C7" s="83">
        <v>1.0</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83" t="s">
        <v>288</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8" t="s">
        <v>290</v>
      </c>
      <c r="B15" s="89"/>
      <c r="C15" s="89"/>
      <c r="D15" s="89"/>
      <c r="E15" s="89"/>
      <c r="F15" s="89"/>
      <c r="G15" s="89"/>
      <c r="H15" s="90"/>
    </row>
    <row r="16" ht="52.5" customHeight="1">
      <c r="A16" s="91"/>
      <c r="B16" s="92"/>
      <c r="C16" s="92"/>
      <c r="D16" s="92"/>
      <c r="E16" s="92"/>
      <c r="F16" s="92"/>
      <c r="G16" s="92"/>
      <c r="H16" s="93"/>
    </row>
    <row r="17" ht="15.75" customHeight="1">
      <c r="A17" s="99" t="s">
        <v>234</v>
      </c>
      <c r="B17" s="26"/>
      <c r="C17" s="26"/>
      <c r="D17" s="26"/>
      <c r="E17" s="26"/>
      <c r="F17" s="26"/>
      <c r="G17" s="26"/>
      <c r="H17" s="29"/>
    </row>
    <row r="18" ht="15.75" customHeight="1">
      <c r="A18" s="118" t="s">
        <v>291</v>
      </c>
      <c r="B18" s="89"/>
      <c r="C18" s="89"/>
      <c r="D18" s="89"/>
      <c r="E18" s="89"/>
      <c r="F18" s="89"/>
      <c r="G18" s="89"/>
      <c r="H18" s="90"/>
    </row>
    <row r="19" ht="48.75" customHeight="1">
      <c r="A19" s="91"/>
      <c r="B19" s="92"/>
      <c r="C19" s="92"/>
      <c r="D19" s="92"/>
      <c r="E19" s="92"/>
      <c r="F19" s="92"/>
      <c r="G19" s="92"/>
      <c r="H19" s="93"/>
    </row>
    <row r="20" ht="15.75" customHeight="1"/>
    <row r="21" ht="15.75" customHeight="1">
      <c r="A21" s="97" t="s">
        <v>236</v>
      </c>
      <c r="G21" s="82" t="s">
        <v>60</v>
      </c>
      <c r="H21" s="98">
        <f>SUM(D39:H42)</f>
        <v>60</v>
      </c>
      <c r="I21" s="10"/>
    </row>
    <row r="22" ht="15.75" customHeight="1">
      <c r="G22" s="56" t="s">
        <v>237</v>
      </c>
    </row>
    <row r="23" ht="15.75" customHeight="1">
      <c r="A23" s="61" t="s">
        <v>238</v>
      </c>
      <c r="B23" s="83" t="s">
        <v>97</v>
      </c>
      <c r="C23" s="26"/>
      <c r="D23" s="26"/>
      <c r="E23" s="26"/>
      <c r="F23" s="26"/>
      <c r="G23" s="26"/>
      <c r="H23" s="29"/>
    </row>
    <row r="24" ht="15.75" customHeight="1">
      <c r="A24" s="61" t="s">
        <v>238</v>
      </c>
      <c r="B24" s="83" t="s">
        <v>56</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IFERROR(__xludf.DUMMYFUNCTION("FILTER('Diseño'!D:D,'Diseño'!H:H=$C$5)"),"Comunicación en entornos virtuales")</f>
        <v>Comunicación en entornos virtuales</v>
      </c>
      <c r="C28" s="29"/>
      <c r="D28" s="32" t="str">
        <f>IFERROR(__xludf.DUMMYFUNCTION("FILTER('Diseño'!E:E,'Diseño'!H:H=$C$5)"),"Netiqueta:")</f>
        <v>Netiqueta:</v>
      </c>
      <c r="E28" s="29"/>
      <c r="F28" s="32" t="str">
        <f>IFERROR(__xludf.DUMMYFUNCTION("FILTER('Diseño'!F:F,'Diseño'!H:H=$C$5)"),"tono y formato en e-mail/chat;")</f>
        <v>tono y formato en e-mail/chat;</v>
      </c>
      <c r="G28" s="26"/>
      <c r="H28" s="29"/>
    </row>
    <row r="29" ht="15.75" customHeight="1">
      <c r="A29" s="35">
        <v>2.0</v>
      </c>
      <c r="B29" s="32" t="str">
        <f>IFERROR(__xludf.DUMMYFUNCTION("""COMPUTED_VALUE"""),"Comunicación en entornos virtuales")</f>
        <v>Comunicación en entornos virtuales</v>
      </c>
      <c r="C29" s="29"/>
      <c r="D29" s="32" t="str">
        <f>IFERROR(__xludf.DUMMYFUNCTION("""COMPUTED_VALUE"""),"Netiqueta:")</f>
        <v>Netiqueta:</v>
      </c>
      <c r="E29" s="29"/>
      <c r="F29" s="32" t="str">
        <f>IFERROR(__xludf.DUMMYFUNCTION("""COMPUTED_VALUE"""),"hilos y prioridades")</f>
        <v>hilos y prioridades</v>
      </c>
      <c r="G29" s="26"/>
      <c r="H29" s="29"/>
    </row>
    <row r="30" ht="15.75" customHeight="1">
      <c r="A30" s="35">
        <v>3.0</v>
      </c>
      <c r="B30" s="32" t="str">
        <f>IFERROR(__xludf.DUMMYFUNCTION("""COMPUTED_VALUE"""),"Comunicación en entornos virtuales")</f>
        <v>Comunicación en entornos virtuales</v>
      </c>
      <c r="C30" s="29"/>
      <c r="D30" s="32" t="str">
        <f>IFERROR(__xludf.DUMMYFUNCTION("""COMPUTED_VALUE"""),"Herramientas colaborativas:")</f>
        <v>Herramientas colaborativas:</v>
      </c>
      <c r="E30" s="29"/>
      <c r="F30" s="32" t="str">
        <f>IFERROR(__xludf.DUMMYFUNCTION("""COMPUTED_VALUE"""),"issues/PRs/wikis")</f>
        <v>issues/PRs/wikis</v>
      </c>
      <c r="G30" s="26"/>
      <c r="H30" s="29"/>
    </row>
    <row r="31" ht="15.75" customHeight="1">
      <c r="A31" s="35">
        <v>4.0</v>
      </c>
      <c r="B31" s="32" t="str">
        <f>IFERROR(__xludf.DUMMYFUNCTION("""COMPUTED_VALUE"""),"Comunicación en entornos virtuales")</f>
        <v>Comunicación en entornos virtuales</v>
      </c>
      <c r="C31" s="29"/>
      <c r="D31" s="32" t="str">
        <f>IFERROR(__xludf.DUMMYFUNCTION("""COMPUTED_VALUE"""),"Herramientas colaborativas:")</f>
        <v>Herramientas colaborativas:</v>
      </c>
      <c r="E31" s="29"/>
      <c r="F31" s="32" t="str">
        <f>IFERROR(__xludf.DUMMYFUNCTION("""COMPUTED_VALUE"""),"ownership de docs")</f>
        <v>ownership de docs</v>
      </c>
      <c r="G31" s="26"/>
      <c r="H31" s="29"/>
    </row>
    <row r="32" ht="15.75" customHeight="1">
      <c r="A32" s="35">
        <v>5.0</v>
      </c>
      <c r="B32" s="32" t="str">
        <f>IFERROR(__xludf.DUMMYFUNCTION("""COMPUTED_VALUE"""),"Comunicación en entornos virtuales")</f>
        <v>Comunicación en entornos virtuales</v>
      </c>
      <c r="C32" s="29"/>
      <c r="D32" s="32" t="str">
        <f>IFERROR(__xludf.DUMMYFUNCTION("""COMPUTED_VALUE"""),"Reuniones remotas")</f>
        <v>Reuniones remotas</v>
      </c>
      <c r="E32" s="29"/>
      <c r="F32" s="32" t="str">
        <f>IFERROR(__xludf.DUMMYFUNCTION("""COMPUTED_VALUE"""),"roles (moderador/timekeeper)")</f>
        <v>roles (moderador/timekeeper)</v>
      </c>
      <c r="G32" s="26"/>
      <c r="H32" s="29"/>
    </row>
    <row r="33" ht="15.75" customHeight="1">
      <c r="A33" s="35">
        <v>6.0</v>
      </c>
      <c r="B33" s="32" t="str">
        <f>IFERROR(__xludf.DUMMYFUNCTION("""COMPUTED_VALUE"""),"Comunicación en entornos virtuales")</f>
        <v>Comunicación en entornos virtuales</v>
      </c>
      <c r="C33" s="29"/>
      <c r="D33" s="32" t="str">
        <f>IFERROR(__xludf.DUMMYFUNCTION("""COMPUTED_VALUE"""),"Reuniones remotas")</f>
        <v>Reuniones remotas</v>
      </c>
      <c r="E33" s="29"/>
      <c r="F33" s="32" t="str">
        <f>IFERROR(__xludf.DUMMYFUNCTION("""COMPUTED_VALUE"""),"fallback ante fallos")</f>
        <v>fallback ante fallos</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83">
        <v>5.0</v>
      </c>
      <c r="E41" s="26"/>
      <c r="F41" s="26"/>
      <c r="G41" s="26"/>
      <c r="H41" s="29"/>
      <c r="I41" s="35" t="str">
        <f t="shared" si="1"/>
        <v>Correcto</v>
      </c>
    </row>
    <row r="42" ht="15.75" customHeight="1">
      <c r="A42" s="35" t="s">
        <v>252</v>
      </c>
      <c r="B42" s="35" t="s">
        <v>248</v>
      </c>
      <c r="C42" s="35">
        <v>30.0</v>
      </c>
      <c r="D42" s="83">
        <v>20.0</v>
      </c>
      <c r="E42" s="26"/>
      <c r="F42" s="26"/>
      <c r="G42" s="26"/>
      <c r="H42" s="29"/>
      <c r="I42" s="35" t="str">
        <f t="shared" si="1"/>
        <v>Correcto</v>
      </c>
    </row>
    <row r="43" ht="15.75" customHeight="1"/>
    <row r="44" ht="15.75" customHeight="1">
      <c r="A44" s="97" t="s">
        <v>253</v>
      </c>
      <c r="G44" s="82" t="s">
        <v>60</v>
      </c>
      <c r="H44" s="98">
        <v>35.0</v>
      </c>
    </row>
    <row r="45" ht="15.75" customHeight="1">
      <c r="G45" s="56" t="s">
        <v>254</v>
      </c>
    </row>
    <row r="46" ht="15.75" customHeight="1">
      <c r="A46" s="56" t="s">
        <v>255</v>
      </c>
    </row>
    <row r="47">
      <c r="A47" s="61" t="s">
        <v>256</v>
      </c>
      <c r="B47" s="83" t="s">
        <v>74</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35.0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18" t="s">
        <v>294</v>
      </c>
      <c r="B53" s="89"/>
      <c r="C53" s="89"/>
      <c r="D53" s="89"/>
      <c r="E53" s="89"/>
      <c r="F53" s="89"/>
      <c r="G53" s="89"/>
      <c r="H53" s="90"/>
    </row>
    <row r="54" ht="15.75" customHeight="1">
      <c r="A54" s="110"/>
      <c r="H54" s="111"/>
    </row>
    <row r="55" ht="71.2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10</v>
      </c>
    </row>
    <row r="69" ht="15.75" customHeight="1">
      <c r="G69" s="56" t="s">
        <v>267</v>
      </c>
    </row>
    <row r="70" ht="15.75" customHeight="1">
      <c r="A70" s="61" t="s">
        <v>60</v>
      </c>
      <c r="B70" s="108">
        <v>10.0</v>
      </c>
      <c r="C70" s="26"/>
      <c r="D70" s="26"/>
      <c r="E70" s="26"/>
      <c r="F70" s="26"/>
      <c r="G70" s="26"/>
      <c r="H70" s="29"/>
    </row>
    <row r="71" ht="15.75" customHeight="1">
      <c r="A71" s="105" t="s">
        <v>268</v>
      </c>
      <c r="B71" s="26"/>
      <c r="C71" s="26"/>
      <c r="D71" s="26"/>
      <c r="E71" s="26"/>
      <c r="F71" s="26"/>
      <c r="G71" s="26"/>
      <c r="H71" s="29"/>
    </row>
    <row r="72" ht="15.75" customHeight="1">
      <c r="A72" s="118" t="s">
        <v>295</v>
      </c>
      <c r="B72" s="89"/>
      <c r="C72" s="89"/>
      <c r="D72" s="89"/>
      <c r="E72" s="89"/>
      <c r="F72" s="89"/>
      <c r="G72" s="89"/>
      <c r="H72" s="90"/>
    </row>
    <row r="73" ht="25.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9.0</v>
      </c>
      <c r="D5" s="26"/>
      <c r="E5" s="26"/>
      <c r="F5" s="26"/>
      <c r="G5" s="29"/>
    </row>
    <row r="6" ht="15.75" customHeight="1">
      <c r="B6" s="95" t="s">
        <v>38</v>
      </c>
      <c r="C6" s="83">
        <v>110.0</v>
      </c>
      <c r="D6" s="26"/>
      <c r="E6" s="26"/>
      <c r="F6" s="26"/>
      <c r="G6" s="29"/>
      <c r="I6" s="10"/>
    </row>
    <row r="7" ht="15.75" customHeight="1">
      <c r="B7" s="95" t="s">
        <v>226</v>
      </c>
      <c r="C7" s="83">
        <v>1.0</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98">
        <v>5.0</v>
      </c>
    </row>
    <row r="11" ht="15.75" customHeight="1">
      <c r="G11" s="56" t="s">
        <v>229</v>
      </c>
    </row>
    <row r="12" ht="15.75" customHeight="1">
      <c r="A12" s="61" t="s">
        <v>230</v>
      </c>
      <c r="B12" s="83" t="s">
        <v>298</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8" t="s">
        <v>299</v>
      </c>
      <c r="B15" s="89"/>
      <c r="C15" s="89"/>
      <c r="D15" s="89"/>
      <c r="E15" s="89"/>
      <c r="F15" s="89"/>
      <c r="G15" s="89"/>
      <c r="H15" s="90"/>
    </row>
    <row r="16" ht="45.75" customHeight="1">
      <c r="A16" s="91"/>
      <c r="B16" s="92"/>
      <c r="C16" s="92"/>
      <c r="D16" s="92"/>
      <c r="E16" s="92"/>
      <c r="F16" s="92"/>
      <c r="G16" s="92"/>
      <c r="H16" s="93"/>
    </row>
    <row r="17" ht="15.75" customHeight="1">
      <c r="A17" s="99" t="s">
        <v>234</v>
      </c>
      <c r="B17" s="26"/>
      <c r="C17" s="26"/>
      <c r="D17" s="26"/>
      <c r="E17" s="26"/>
      <c r="F17" s="26"/>
      <c r="G17" s="26"/>
      <c r="H17" s="29"/>
    </row>
    <row r="18" ht="15.75" customHeight="1">
      <c r="A18" s="118" t="s">
        <v>301</v>
      </c>
      <c r="B18" s="89"/>
      <c r="C18" s="89"/>
      <c r="D18" s="89"/>
      <c r="E18" s="89"/>
      <c r="F18" s="89"/>
      <c r="G18" s="89"/>
      <c r="H18" s="90"/>
    </row>
    <row r="19" ht="45.75" customHeight="1">
      <c r="A19" s="91"/>
      <c r="B19" s="92"/>
      <c r="C19" s="92"/>
      <c r="D19" s="92"/>
      <c r="E19" s="92"/>
      <c r="F19" s="92"/>
      <c r="G19" s="92"/>
      <c r="H19" s="93"/>
    </row>
    <row r="20" ht="15.75" customHeight="1"/>
    <row r="21" ht="15.75" customHeight="1">
      <c r="A21" s="97" t="s">
        <v>236</v>
      </c>
      <c r="G21" s="82" t="s">
        <v>60</v>
      </c>
      <c r="H21" s="98">
        <f>SUM(D39:H42)</f>
        <v>60</v>
      </c>
      <c r="I21" s="10"/>
    </row>
    <row r="22" ht="15.75" customHeight="1">
      <c r="G22" s="56" t="s">
        <v>237</v>
      </c>
    </row>
    <row r="23" ht="15.75" customHeight="1">
      <c r="A23" s="61" t="s">
        <v>238</v>
      </c>
      <c r="B23" s="83" t="s">
        <v>56</v>
      </c>
      <c r="C23" s="26"/>
      <c r="D23" s="26"/>
      <c r="E23" s="26"/>
      <c r="F23" s="26"/>
      <c r="G23" s="26"/>
      <c r="H23" s="29"/>
    </row>
    <row r="24" ht="15.75" customHeight="1">
      <c r="A24" s="61" t="s">
        <v>238</v>
      </c>
      <c r="B24" s="83" t="s">
        <v>39</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IFERROR(__xludf.DUMMYFUNCTION("FILTER('Diseño'!D:D,'Diseño'!H:H=$C$5)"),"Asertividad: límites y críticas")</f>
        <v>Asertividad: límites y críticas</v>
      </c>
      <c r="C28" s="29"/>
      <c r="D28" s="32" t="str">
        <f>IFERROR(__xludf.DUMMYFUNCTION("FILTER('Diseño'!E:E,'Diseño'!H:H=$C$5)"),"Decir “no” profesionalmente:")</f>
        <v>Decir “no” profesionalmente:</v>
      </c>
      <c r="E28" s="29"/>
      <c r="F28" s="32" t="str">
        <f>IFERROR(__xludf.DUMMYFUNCTION("FILTER('Diseño'!F:F,'Diseño'!H:H=$C$5)"),"estructura del mensaje;")</f>
        <v>estructura del mensaje;</v>
      </c>
      <c r="G28" s="26"/>
      <c r="H28" s="29"/>
    </row>
    <row r="29" ht="15.75" customHeight="1">
      <c r="A29" s="35">
        <v>2.0</v>
      </c>
      <c r="B29" s="32" t="str">
        <f>IFERROR(__xludf.DUMMYFUNCTION("""COMPUTED_VALUE"""),"Asertividad: límites y críticas")</f>
        <v>Asertividad: límites y críticas</v>
      </c>
      <c r="C29" s="29"/>
      <c r="D29" s="32" t="str">
        <f>IFERROR(__xludf.DUMMYFUNCTION("""COMPUTED_VALUE"""),"Decir “no” profesionalmente:")</f>
        <v>Decir “no” profesionalmente:</v>
      </c>
      <c r="E29" s="29"/>
      <c r="F29" s="32" t="str">
        <f>IFERROR(__xludf.DUMMYFUNCTION("""COMPUTED_VALUE"""),"negociar límites")</f>
        <v>negociar límites</v>
      </c>
      <c r="G29" s="26"/>
      <c r="H29" s="29"/>
    </row>
    <row r="30" ht="15.75" customHeight="1">
      <c r="A30" s="35">
        <v>3.0</v>
      </c>
      <c r="B30" s="32" t="str">
        <f>IFERROR(__xludf.DUMMYFUNCTION("""COMPUTED_VALUE"""),"Asertividad: límites y críticas")</f>
        <v>Asertividad: límites y críticas</v>
      </c>
      <c r="C30" s="29"/>
      <c r="D30" s="32" t="str">
        <f>IFERROR(__xludf.DUMMYFUNCTION("""COMPUTED_VALUE"""),"Dar feedback")</f>
        <v>Dar feedback</v>
      </c>
      <c r="E30" s="29"/>
      <c r="F30" s="32" t="str">
        <f>IFERROR(__xludf.DUMMYFUNCTION("""COMPUTED_VALUE"""),"técnicas (sandwich, situacional);")</f>
        <v>técnicas (sandwich, situacional);</v>
      </c>
      <c r="G30" s="26"/>
      <c r="H30" s="29"/>
    </row>
    <row r="31" ht="15.75" customHeight="1">
      <c r="A31" s="35">
        <v>4.0</v>
      </c>
      <c r="B31" s="32" t="str">
        <f>IFERROR(__xludf.DUMMYFUNCTION("""COMPUTED_VALUE"""),"Asertividad: límites y críticas")</f>
        <v>Asertividad: límites y críticas</v>
      </c>
      <c r="C31" s="29"/>
      <c r="D31" s="32" t="str">
        <f>IFERROR(__xludf.DUMMYFUNCTION("""COMPUTED_VALUE"""),"Dar feedback")</f>
        <v>Dar feedback</v>
      </c>
      <c r="E31" s="29"/>
      <c r="F31" s="32" t="str">
        <f>IFERROR(__xludf.DUMMYFUNCTION("""COMPUTED_VALUE"""),"evitar desmotivación")</f>
        <v>evitar desmotivación</v>
      </c>
      <c r="G31" s="26"/>
      <c r="H31" s="29"/>
    </row>
    <row r="32" ht="15.75" customHeight="1">
      <c r="A32" s="35">
        <v>5.0</v>
      </c>
      <c r="B32" s="32" t="str">
        <f>IFERROR(__xludf.DUMMYFUNCTION("""COMPUTED_VALUE"""),"Asertividad: límites y críticas")</f>
        <v>Asertividad: límites y críticas</v>
      </c>
      <c r="C32" s="29"/>
      <c r="D32" s="32" t="str">
        <f>IFERROR(__xludf.DUMMYFUNCTION("""COMPUTED_VALUE"""),"Regulación emocional:")</f>
        <v>Regulación emocional:</v>
      </c>
      <c r="E32" s="29"/>
      <c r="F32" s="32" t="str">
        <f>IFERROR(__xludf.DUMMYFUNCTION("""COMPUTED_VALUE"""),"pausas/respiración")</f>
        <v>pausas/respiración</v>
      </c>
      <c r="G32" s="26"/>
      <c r="H32" s="29"/>
    </row>
    <row r="33" ht="15.75" customHeight="1">
      <c r="A33" s="35">
        <v>6.0</v>
      </c>
      <c r="B33" s="32" t="str">
        <f>IFERROR(__xludf.DUMMYFUNCTION("""COMPUTED_VALUE"""),"Asertividad: límites y críticas")</f>
        <v>Asertividad: límites y críticas</v>
      </c>
      <c r="C33" s="29"/>
      <c r="D33" s="32" t="str">
        <f>IFERROR(__xludf.DUMMYFUNCTION("""COMPUTED_VALUE"""),"Regulación emocional:")</f>
        <v>Regulación emocional:</v>
      </c>
      <c r="E33" s="29"/>
      <c r="F33" s="32" t="str">
        <f>IFERROR(__xludf.DUMMYFUNCTION("""COMPUTED_VALUE"""),"mantener profesionalidad")</f>
        <v>mantener profesionalidad</v>
      </c>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83">
        <v>5.0</v>
      </c>
      <c r="E41" s="26"/>
      <c r="F41" s="26"/>
      <c r="G41" s="26"/>
      <c r="H41" s="29"/>
      <c r="I41" s="35" t="str">
        <f t="shared" si="1"/>
        <v>Correcto</v>
      </c>
    </row>
    <row r="42" ht="15.75" customHeight="1">
      <c r="A42" s="35" t="s">
        <v>252</v>
      </c>
      <c r="B42" s="35" t="s">
        <v>248</v>
      </c>
      <c r="C42" s="35">
        <v>30.0</v>
      </c>
      <c r="D42" s="83">
        <v>20.0</v>
      </c>
      <c r="E42" s="26"/>
      <c r="F42" s="26"/>
      <c r="G42" s="26"/>
      <c r="H42" s="29"/>
      <c r="I42" s="35" t="str">
        <f t="shared" si="1"/>
        <v>Correcto</v>
      </c>
    </row>
    <row r="43" ht="15.75" customHeight="1"/>
    <row r="44" ht="15.75" customHeight="1">
      <c r="A44" s="97" t="s">
        <v>253</v>
      </c>
      <c r="G44" s="82" t="s">
        <v>60</v>
      </c>
      <c r="H44" s="98">
        <v>35.0</v>
      </c>
    </row>
    <row r="45" ht="15.75" customHeight="1">
      <c r="G45" s="56" t="s">
        <v>254</v>
      </c>
    </row>
    <row r="46" ht="15.75" customHeight="1">
      <c r="A46" s="56" t="s">
        <v>255</v>
      </c>
    </row>
    <row r="47">
      <c r="A47" s="61" t="s">
        <v>256</v>
      </c>
      <c r="B47" s="83" t="s">
        <v>149</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35.0</v>
      </c>
      <c r="C50" s="26"/>
      <c r="D50" s="26"/>
      <c r="E50" s="26"/>
      <c r="F50" s="26"/>
      <c r="G50" s="26"/>
      <c r="H50" s="29"/>
    </row>
    <row r="51" ht="15.75" customHeight="1">
      <c r="A51" s="109"/>
      <c r="B51" s="10"/>
      <c r="C51" s="10"/>
      <c r="D51" s="10"/>
      <c r="E51" s="10"/>
      <c r="F51" s="10"/>
      <c r="G51" s="10"/>
      <c r="H51" s="10"/>
    </row>
    <row r="52" ht="15.75" customHeight="1">
      <c r="A52" s="99" t="s">
        <v>259</v>
      </c>
      <c r="B52" s="26"/>
      <c r="C52" s="26"/>
      <c r="D52" s="26"/>
      <c r="E52" s="26"/>
      <c r="F52" s="26"/>
      <c r="G52" s="26"/>
      <c r="H52" s="29"/>
    </row>
    <row r="53" ht="15.75" customHeight="1">
      <c r="A53" s="118" t="s">
        <v>307</v>
      </c>
      <c r="B53" s="89"/>
      <c r="C53" s="89"/>
      <c r="D53" s="89"/>
      <c r="E53" s="89"/>
      <c r="F53" s="89"/>
      <c r="G53" s="89"/>
      <c r="H53" s="90"/>
    </row>
    <row r="54" ht="15.75" customHeight="1">
      <c r="A54" s="110"/>
      <c r="H54" s="111"/>
    </row>
    <row r="55" ht="102.7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98">
        <v>10.0</v>
      </c>
    </row>
    <row r="69" ht="15.75" customHeight="1">
      <c r="G69" s="56" t="s">
        <v>267</v>
      </c>
    </row>
    <row r="70" ht="15.75" customHeight="1">
      <c r="A70" s="61" t="s">
        <v>60</v>
      </c>
      <c r="B70" s="108">
        <v>10.0</v>
      </c>
      <c r="C70" s="26"/>
      <c r="D70" s="26"/>
      <c r="E70" s="26"/>
      <c r="F70" s="26"/>
      <c r="G70" s="26"/>
      <c r="H70" s="29"/>
    </row>
    <row r="71" ht="15.75" customHeight="1">
      <c r="A71" s="105" t="s">
        <v>268</v>
      </c>
      <c r="B71" s="26"/>
      <c r="C71" s="26"/>
      <c r="D71" s="26"/>
      <c r="E71" s="26"/>
      <c r="F71" s="26"/>
      <c r="G71" s="26"/>
      <c r="H71" s="29"/>
    </row>
    <row r="72" ht="15.75" customHeight="1">
      <c r="A72" s="118" t="s">
        <v>309</v>
      </c>
      <c r="B72" s="89"/>
      <c r="C72" s="89"/>
      <c r="D72" s="89"/>
      <c r="E72" s="89"/>
      <c r="F72" s="89"/>
      <c r="G72" s="89"/>
      <c r="H72" s="90"/>
    </row>
    <row r="73" ht="43.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4.0"/>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10.0</v>
      </c>
      <c r="D5" s="26"/>
      <c r="E5" s="26"/>
      <c r="F5" s="26"/>
      <c r="G5" s="29"/>
    </row>
    <row r="6" ht="15.75" customHeight="1">
      <c r="B6" s="95" t="s">
        <v>38</v>
      </c>
      <c r="C6" s="32">
        <f>H10+H21+H44+H68</f>
        <v>110</v>
      </c>
      <c r="D6" s="26"/>
      <c r="E6" s="26"/>
      <c r="F6" s="26"/>
      <c r="G6" s="29"/>
      <c r="I6" s="10"/>
    </row>
    <row r="7" ht="15.75" customHeight="1">
      <c r="B7" s="95" t="s">
        <v>226</v>
      </c>
      <c r="C7" s="83">
        <v>1.0</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83" t="s">
        <v>300</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8" t="s">
        <v>302</v>
      </c>
      <c r="B15" s="89"/>
      <c r="C15" s="89"/>
      <c r="D15" s="89"/>
      <c r="E15" s="89"/>
      <c r="F15" s="89"/>
      <c r="G15" s="89"/>
      <c r="H15" s="90"/>
    </row>
    <row r="16" ht="42.75" customHeight="1">
      <c r="A16" s="91"/>
      <c r="B16" s="92"/>
      <c r="C16" s="92"/>
      <c r="D16" s="92"/>
      <c r="E16" s="92"/>
      <c r="F16" s="92"/>
      <c r="G16" s="92"/>
      <c r="H16" s="93"/>
    </row>
    <row r="17" ht="15.75" customHeight="1">
      <c r="A17" s="99" t="s">
        <v>234</v>
      </c>
      <c r="B17" s="26"/>
      <c r="C17" s="26"/>
      <c r="D17" s="26"/>
      <c r="E17" s="26"/>
      <c r="F17" s="26"/>
      <c r="G17" s="26"/>
      <c r="H17" s="29"/>
    </row>
    <row r="18" ht="15.75" customHeight="1">
      <c r="A18" s="118" t="s">
        <v>303</v>
      </c>
      <c r="B18" s="89"/>
      <c r="C18" s="89"/>
      <c r="D18" s="89"/>
      <c r="E18" s="89"/>
      <c r="F18" s="89"/>
      <c r="G18" s="89"/>
      <c r="H18" s="90"/>
    </row>
    <row r="19" ht="50.25" customHeight="1">
      <c r="A19" s="91"/>
      <c r="B19" s="92"/>
      <c r="C19" s="92"/>
      <c r="D19" s="92"/>
      <c r="E19" s="92"/>
      <c r="F19" s="92"/>
      <c r="G19" s="92"/>
      <c r="H19" s="93"/>
    </row>
    <row r="20" ht="15.75" customHeight="1"/>
    <row r="21" ht="15.75" customHeight="1">
      <c r="A21" s="97" t="s">
        <v>236</v>
      </c>
      <c r="G21" s="82" t="s">
        <v>60</v>
      </c>
      <c r="H21" s="107">
        <f>SUM(D39:H42)</f>
        <v>60</v>
      </c>
      <c r="I21" s="10"/>
    </row>
    <row r="22" ht="15.75" customHeight="1">
      <c r="G22" s="56" t="s">
        <v>237</v>
      </c>
    </row>
    <row r="23" ht="15.75" customHeight="1">
      <c r="A23" s="61" t="s">
        <v>238</v>
      </c>
      <c r="B23" s="83" t="s">
        <v>118</v>
      </c>
      <c r="C23" s="26"/>
      <c r="D23" s="26"/>
      <c r="E23" s="26"/>
      <c r="F23" s="26"/>
      <c r="G23" s="26"/>
      <c r="H23" s="29"/>
    </row>
    <row r="24" ht="15.75" customHeight="1">
      <c r="A24" s="61" t="s">
        <v>238</v>
      </c>
      <c r="B24" s="83" t="s">
        <v>149</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IFERROR(__xludf.DUMMYFUNCTION("FILTER('Diseño'!D:D,'Diseño'!H:H=$C$5)"),"Persuasión, negociación y presentación")</f>
        <v>Persuasión, negociación y presentación</v>
      </c>
      <c r="C28" s="29"/>
      <c r="D28" s="32" t="str">
        <f>IFERROR(__xludf.DUMMYFUNCTION("FILTER('Diseño'!E:E,'Diseño'!H:H=$C$5)"),"Persuasión")</f>
        <v>Persuasión</v>
      </c>
      <c r="E28" s="29"/>
      <c r="F28" s="32" t="str">
        <f>IFERROR(__xludf.DUMMYFUNCTION("FILTER('Diseño'!F:F,'Diseño'!H:H=$C$5)"),"credibilidad y evidencia; ")</f>
        <v>credibilidad y evidencia; </v>
      </c>
      <c r="G28" s="26"/>
      <c r="H28" s="29"/>
    </row>
    <row r="29" ht="15.75" customHeight="1">
      <c r="A29" s="35">
        <v>2.0</v>
      </c>
      <c r="B29" s="32" t="str">
        <f>IFERROR(__xludf.DUMMYFUNCTION("""COMPUTED_VALUE"""),"Persuasión, negociación y presentación")</f>
        <v>Persuasión, negociación y presentación</v>
      </c>
      <c r="C29" s="29"/>
      <c r="D29" s="32" t="str">
        <f>IFERROR(__xludf.DUMMYFUNCTION("""COMPUTED_VALUE"""),"Persuasión")</f>
        <v>Persuasión</v>
      </c>
      <c r="E29" s="29"/>
      <c r="F29" s="32" t="str">
        <f>IFERROR(__xludf.DUMMYFUNCTION("""COMPUTED_VALUE"""),"framing de propuestas")</f>
        <v>framing de propuestas</v>
      </c>
      <c r="G29" s="26"/>
      <c r="H29" s="29"/>
    </row>
    <row r="30" ht="15.75" customHeight="1">
      <c r="A30" s="35">
        <v>3.0</v>
      </c>
      <c r="B30" s="32" t="str">
        <f>IFERROR(__xludf.DUMMYFUNCTION("""COMPUTED_VALUE"""),"Persuasión, negociación y presentación")</f>
        <v>Persuasión, negociación y presentación</v>
      </c>
      <c r="C30" s="29"/>
      <c r="D30" s="32" t="str">
        <f>IFERROR(__xludf.DUMMYFUNCTION("""COMPUTED_VALUE"""),"Negociación:")</f>
        <v>Negociación:</v>
      </c>
      <c r="E30" s="29"/>
      <c r="F30" s="32" t="str">
        <f>IFERROR(__xludf.DUMMYFUNCTION("""COMPUTED_VALUE"""),"BATNA/preparación")</f>
        <v>BATNA/preparación</v>
      </c>
      <c r="G30" s="26"/>
      <c r="H30" s="29"/>
    </row>
    <row r="31" ht="15.75" customHeight="1">
      <c r="A31" s="35">
        <v>4.0</v>
      </c>
      <c r="B31" s="32" t="str">
        <f>IFERROR(__xludf.DUMMYFUNCTION("""COMPUTED_VALUE"""),"Persuasión, negociación y presentación")</f>
        <v>Persuasión, negociación y presentación</v>
      </c>
      <c r="C31" s="29"/>
      <c r="D31" s="32" t="str">
        <f>IFERROR(__xludf.DUMMYFUNCTION("""COMPUTED_VALUE"""),"Negociación:")</f>
        <v>Negociación:</v>
      </c>
      <c r="E31" s="29"/>
      <c r="F31" s="32" t="str">
        <f>IFERROR(__xludf.DUMMYFUNCTION("""COMPUTED_VALUE"""),"acuerdos y trade-offs")</f>
        <v>acuerdos y trade-offs</v>
      </c>
      <c r="G31" s="26"/>
      <c r="H31" s="29"/>
    </row>
    <row r="32" ht="15.75" customHeight="1">
      <c r="A32" s="35">
        <v>5.0</v>
      </c>
      <c r="B32" s="32" t="str">
        <f>IFERROR(__xludf.DUMMYFUNCTION("""COMPUTED_VALUE"""),"Persuasión, negociación y presentación")</f>
        <v>Persuasión, negociación y presentación</v>
      </c>
      <c r="C32" s="29"/>
      <c r="D32" s="32" t="str">
        <f>IFERROR(__xludf.DUMMYFUNCTION("""COMPUTED_VALUE"""),"Presentación técnica")</f>
        <v>Presentación técnica</v>
      </c>
      <c r="E32" s="29"/>
      <c r="F32" s="32" t="str">
        <f>IFERROR(__xludf.DUMMYFUNCTION("""COMPUTED_VALUE"""),"estructura efectiva;")</f>
        <v>estructura efectiva;</v>
      </c>
      <c r="G32" s="26"/>
      <c r="H32" s="29"/>
    </row>
    <row r="33" ht="15.75" customHeight="1">
      <c r="A33" s="35">
        <v>6.0</v>
      </c>
      <c r="B33" s="32" t="str">
        <f>IFERROR(__xludf.DUMMYFUNCTION("""COMPUTED_VALUE"""),"Persuasión, negociación y presentación")</f>
        <v>Persuasión, negociación y presentación</v>
      </c>
      <c r="C33" s="29"/>
      <c r="D33" s="32" t="str">
        <f>IFERROR(__xludf.DUMMYFUNCTION("""COMPUTED_VALUE"""),"Presentación técnica")</f>
        <v>Presentación técnica</v>
      </c>
      <c r="E33" s="29"/>
      <c r="F33" s="32" t="str">
        <f>IFERROR(__xludf.DUMMYFUNCTION("""COMPUTED_VALUE"""),"manejo de Q&amp;A")</f>
        <v>manejo de Q&amp;A</v>
      </c>
      <c r="G33" s="26"/>
      <c r="H33" s="29"/>
    </row>
    <row r="34" ht="15.75" customHeight="1">
      <c r="A34" s="35">
        <v>7.0</v>
      </c>
      <c r="B34" s="32" t="str">
        <f>IFERROR(__xludf.DUMMYFUNCTION("""COMPUTED_VALUE"""),"Redacción técnica y análisis de textos")</f>
        <v>Redacción técnica y análisis de textos</v>
      </c>
      <c r="C34" s="29"/>
      <c r="D34" s="32" t="str">
        <f>IFERROR(__xludf.DUMMYFUNCTION("""COMPUTED_VALUE"""),"Claridad y estilo:")</f>
        <v>Claridad y estilo:</v>
      </c>
      <c r="E34" s="29"/>
      <c r="F34" s="32" t="str">
        <f>IFERROR(__xludf.DUMMYFUNCTION("""COMPUTED_VALUE"""),"voz activa;")</f>
        <v>voz activa;</v>
      </c>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83">
        <v>5.0</v>
      </c>
      <c r="E41" s="26"/>
      <c r="F41" s="26"/>
      <c r="G41" s="26"/>
      <c r="H41" s="29"/>
      <c r="I41" s="35" t="str">
        <f t="shared" si="1"/>
        <v>Correcto</v>
      </c>
    </row>
    <row r="42" ht="15.75" customHeight="1">
      <c r="A42" s="35" t="s">
        <v>252</v>
      </c>
      <c r="B42" s="35" t="s">
        <v>248</v>
      </c>
      <c r="C42" s="35">
        <v>30.0</v>
      </c>
      <c r="D42" s="83">
        <v>20.0</v>
      </c>
      <c r="E42" s="26"/>
      <c r="F42" s="26"/>
      <c r="G42" s="26"/>
      <c r="H42" s="29"/>
      <c r="I42" s="35" t="str">
        <f t="shared" si="1"/>
        <v>Correcto</v>
      </c>
    </row>
    <row r="43" ht="15.75" customHeight="1"/>
    <row r="44" ht="15.75" customHeight="1">
      <c r="A44" s="97" t="s">
        <v>253</v>
      </c>
      <c r="G44" s="82" t="s">
        <v>60</v>
      </c>
      <c r="H44" s="107">
        <f>B50</f>
        <v>35</v>
      </c>
    </row>
    <row r="45" ht="15.75" customHeight="1">
      <c r="G45" s="56" t="s">
        <v>254</v>
      </c>
    </row>
    <row r="46" ht="15.75" customHeight="1">
      <c r="A46" s="56" t="s">
        <v>255</v>
      </c>
    </row>
    <row r="47">
      <c r="A47" s="61" t="s">
        <v>256</v>
      </c>
      <c r="B47" s="83" t="s">
        <v>118</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35.0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18" t="s">
        <v>308</v>
      </c>
      <c r="B53" s="89"/>
      <c r="C53" s="89"/>
      <c r="D53" s="89"/>
      <c r="E53" s="89"/>
      <c r="F53" s="89"/>
      <c r="G53" s="89"/>
      <c r="H53" s="90"/>
    </row>
    <row r="54" ht="15.75" customHeight="1">
      <c r="A54" s="110"/>
      <c r="H54" s="111"/>
    </row>
    <row r="55" ht="88.5" customHeight="1">
      <c r="A55" s="91"/>
      <c r="B55" s="92"/>
      <c r="C55" s="92"/>
      <c r="D55" s="92"/>
      <c r="E55" s="92"/>
      <c r="F55" s="92"/>
      <c r="G55" s="92"/>
      <c r="H55" s="93"/>
    </row>
    <row r="56" ht="15.75" customHeight="1"/>
    <row r="57" ht="15.75" customHeight="1">
      <c r="A57" s="56" t="s">
        <v>262</v>
      </c>
    </row>
    <row r="58">
      <c r="A58" s="61" t="s">
        <v>256</v>
      </c>
      <c r="B58" s="32"/>
      <c r="C58" s="26"/>
      <c r="D58" s="26"/>
      <c r="E58" s="26"/>
      <c r="F58" s="26"/>
      <c r="G58" s="26"/>
      <c r="H58" s="29"/>
    </row>
    <row r="59" ht="15.75" customHeight="1">
      <c r="A59" s="61" t="s">
        <v>12</v>
      </c>
      <c r="B59" s="32"/>
      <c r="C59" s="26"/>
      <c r="D59" s="26"/>
      <c r="E59" s="26"/>
      <c r="F59" s="26"/>
      <c r="G59" s="26"/>
      <c r="H59" s="29"/>
    </row>
    <row r="60" ht="15.75" customHeight="1">
      <c r="A60" s="61" t="s">
        <v>226</v>
      </c>
      <c r="B60" s="112"/>
      <c r="C60" s="26"/>
      <c r="D60" s="26"/>
      <c r="E60" s="26"/>
      <c r="F60" s="26"/>
      <c r="G60" s="26"/>
      <c r="H60" s="29"/>
    </row>
    <row r="61" ht="15.75" customHeight="1">
      <c r="A61" s="61" t="s">
        <v>60</v>
      </c>
      <c r="B61" s="112"/>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10</v>
      </c>
    </row>
    <row r="69" ht="15.75" customHeight="1">
      <c r="G69" s="56" t="s">
        <v>267</v>
      </c>
    </row>
    <row r="70" ht="15.75" customHeight="1">
      <c r="A70" s="61" t="s">
        <v>60</v>
      </c>
      <c r="B70" s="108">
        <v>10.0</v>
      </c>
      <c r="C70" s="26"/>
      <c r="D70" s="26"/>
      <c r="E70" s="26"/>
      <c r="F70" s="26"/>
      <c r="G70" s="26"/>
      <c r="H70" s="29"/>
    </row>
    <row r="71" ht="15.75" customHeight="1">
      <c r="A71" s="105" t="s">
        <v>268</v>
      </c>
      <c r="B71" s="26"/>
      <c r="C71" s="26"/>
      <c r="D71" s="26"/>
      <c r="E71" s="26"/>
      <c r="F71" s="26"/>
      <c r="G71" s="26"/>
      <c r="H71" s="29"/>
    </row>
    <row r="72" ht="15.75" customHeight="1">
      <c r="A72" s="118" t="s">
        <v>310</v>
      </c>
      <c r="B72" s="89"/>
      <c r="C72" s="89"/>
      <c r="D72" s="89"/>
      <c r="E72" s="89"/>
      <c r="F72" s="89"/>
      <c r="G72" s="89"/>
      <c r="H72" s="90"/>
    </row>
    <row r="73" ht="69.0"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225</v>
      </c>
    </row>
    <row r="3" ht="15.75" customHeight="1"/>
    <row r="4" ht="15.75" customHeight="1">
      <c r="B4" s="23" t="s">
        <v>3</v>
      </c>
      <c r="C4" s="94" t="str">
        <f>'Diseño'!C4</f>
        <v>0089 - Comunicación Asertiva</v>
      </c>
      <c r="D4" s="26"/>
      <c r="E4" s="26"/>
      <c r="F4" s="26"/>
      <c r="G4" s="29"/>
    </row>
    <row r="5" ht="15.75" customHeight="1">
      <c r="B5" s="35" t="s">
        <v>21</v>
      </c>
      <c r="C5" s="32">
        <v>11.0</v>
      </c>
      <c r="D5" s="26"/>
      <c r="E5" s="26"/>
      <c r="F5" s="26"/>
      <c r="G5" s="29"/>
    </row>
    <row r="6" ht="15.75" customHeight="1">
      <c r="B6" s="95" t="s">
        <v>38</v>
      </c>
      <c r="C6" s="32">
        <f>H10+H21+H44+H68</f>
        <v>105</v>
      </c>
      <c r="D6" s="26"/>
      <c r="E6" s="26"/>
      <c r="F6" s="26"/>
      <c r="G6" s="29"/>
      <c r="I6" s="10"/>
    </row>
    <row r="7" ht="15.75" customHeight="1">
      <c r="B7" s="95" t="s">
        <v>226</v>
      </c>
      <c r="C7" s="32">
        <f>B49+B60</f>
        <v>11</v>
      </c>
      <c r="D7" s="26"/>
      <c r="E7" s="26"/>
      <c r="F7" s="26"/>
      <c r="G7" s="29"/>
    </row>
    <row r="8" ht="15.75" customHeight="1">
      <c r="B8" s="95" t="s">
        <v>227</v>
      </c>
      <c r="C8" s="96" t="str">
        <f>IF(H44&lt;=0, "❌ ERROR: La Actividad 1 debe tener un tiempo mayor a 0.", IF(H21&gt;60, "❌ ERROR: El 'Área de Conocimiento' no puede exceder los 60 min.", IF((H10+H21+H44)&lt;100, "❌ ERROR: El tiempo total debe ser de al menos 100 min.", "✅ VALIDACIÓN CORRECTA")))</f>
        <v>✅ VALIDACIÓN CORRECTA</v>
      </c>
      <c r="D8" s="26"/>
      <c r="E8" s="26"/>
      <c r="F8" s="26"/>
      <c r="G8" s="29"/>
      <c r="I8" s="10"/>
      <c r="J8" s="10"/>
      <c r="K8" s="10"/>
    </row>
    <row r="9" ht="15.75" customHeight="1"/>
    <row r="10" ht="15.75" customHeight="1">
      <c r="A10" s="97" t="s">
        <v>228</v>
      </c>
      <c r="G10" s="82" t="s">
        <v>60</v>
      </c>
      <c r="H10" s="107">
        <f>B13</f>
        <v>5</v>
      </c>
    </row>
    <row r="11" ht="15.75" customHeight="1">
      <c r="G11" s="56" t="s">
        <v>229</v>
      </c>
    </row>
    <row r="12" ht="15.75" customHeight="1">
      <c r="A12" s="61" t="s">
        <v>230</v>
      </c>
      <c r="B12" s="83" t="s">
        <v>304</v>
      </c>
      <c r="C12" s="26"/>
      <c r="D12" s="26"/>
      <c r="E12" s="26"/>
      <c r="F12" s="26"/>
      <c r="G12" s="26"/>
      <c r="H12" s="29"/>
    </row>
    <row r="13" ht="15.75" customHeight="1">
      <c r="A13" s="65" t="s">
        <v>60</v>
      </c>
      <c r="B13" s="83">
        <v>5.0</v>
      </c>
      <c r="C13" s="26"/>
      <c r="D13" s="26"/>
      <c r="E13" s="26"/>
      <c r="F13" s="26"/>
      <c r="G13" s="26"/>
      <c r="H13" s="29"/>
    </row>
    <row r="14" ht="15.75" customHeight="1">
      <c r="A14" s="99" t="s">
        <v>232</v>
      </c>
      <c r="B14" s="26"/>
      <c r="C14" s="26"/>
      <c r="D14" s="26"/>
      <c r="E14" s="26"/>
      <c r="F14" s="26"/>
      <c r="G14" s="26"/>
      <c r="H14" s="29"/>
    </row>
    <row r="15" ht="15.75" customHeight="1">
      <c r="A15" s="118" t="s">
        <v>305</v>
      </c>
      <c r="B15" s="89"/>
      <c r="C15" s="89"/>
      <c r="D15" s="89"/>
      <c r="E15" s="89"/>
      <c r="F15" s="89"/>
      <c r="G15" s="89"/>
      <c r="H15" s="90"/>
    </row>
    <row r="16" ht="41.25" customHeight="1">
      <c r="A16" s="91"/>
      <c r="B16" s="92"/>
      <c r="C16" s="92"/>
      <c r="D16" s="92"/>
      <c r="E16" s="92"/>
      <c r="F16" s="92"/>
      <c r="G16" s="92"/>
      <c r="H16" s="93"/>
    </row>
    <row r="17" ht="15.75" customHeight="1">
      <c r="A17" s="99" t="s">
        <v>234</v>
      </c>
      <c r="B17" s="26"/>
      <c r="C17" s="26"/>
      <c r="D17" s="26"/>
      <c r="E17" s="26"/>
      <c r="F17" s="26"/>
      <c r="G17" s="26"/>
      <c r="H17" s="29"/>
    </row>
    <row r="18" ht="15.75" customHeight="1">
      <c r="A18" s="118" t="s">
        <v>306</v>
      </c>
      <c r="B18" s="89"/>
      <c r="C18" s="89"/>
      <c r="D18" s="89"/>
      <c r="E18" s="89"/>
      <c r="F18" s="89"/>
      <c r="G18" s="89"/>
      <c r="H18" s="90"/>
    </row>
    <row r="19" ht="45.0" customHeight="1">
      <c r="A19" s="91"/>
      <c r="B19" s="92"/>
      <c r="C19" s="92"/>
      <c r="D19" s="92"/>
      <c r="E19" s="92"/>
      <c r="F19" s="92"/>
      <c r="G19" s="92"/>
      <c r="H19" s="93"/>
    </row>
    <row r="20" ht="15.75" customHeight="1"/>
    <row r="21" ht="15.75" customHeight="1">
      <c r="A21" s="97" t="s">
        <v>236</v>
      </c>
      <c r="G21" s="82" t="s">
        <v>60</v>
      </c>
      <c r="H21" s="107">
        <f>SUM(D39:H42)</f>
        <v>60</v>
      </c>
      <c r="I21" s="10"/>
    </row>
    <row r="22" ht="15.75" customHeight="1">
      <c r="G22" s="56" t="s">
        <v>237</v>
      </c>
    </row>
    <row r="23" ht="15.75" customHeight="1">
      <c r="A23" s="61" t="s">
        <v>238</v>
      </c>
      <c r="B23" s="83" t="s">
        <v>149</v>
      </c>
      <c r="C23" s="26"/>
      <c r="D23" s="26"/>
      <c r="E23" s="26"/>
      <c r="F23" s="26"/>
      <c r="G23" s="26"/>
      <c r="H23" s="29"/>
    </row>
    <row r="24" ht="15.75" customHeight="1">
      <c r="A24" s="61" t="s">
        <v>238</v>
      </c>
      <c r="B24" s="83" t="s">
        <v>74</v>
      </c>
      <c r="C24" s="26"/>
      <c r="D24" s="26"/>
      <c r="E24" s="26"/>
      <c r="F24" s="26"/>
      <c r="G24" s="26"/>
      <c r="H24" s="29"/>
    </row>
    <row r="25" ht="15.75" customHeight="1"/>
    <row r="26" ht="15.75" customHeight="1">
      <c r="A26" s="101" t="s">
        <v>239</v>
      </c>
      <c r="B26" s="10"/>
      <c r="C26" s="10"/>
      <c r="D26" s="10"/>
    </row>
    <row r="27" ht="15.75" customHeight="1">
      <c r="A27" s="102" t="s">
        <v>11</v>
      </c>
      <c r="B27" s="103" t="s">
        <v>240</v>
      </c>
      <c r="C27" s="29"/>
      <c r="D27" s="103" t="s">
        <v>241</v>
      </c>
      <c r="E27" s="29"/>
      <c r="F27" s="103" t="s">
        <v>242</v>
      </c>
      <c r="G27" s="26"/>
      <c r="H27" s="29"/>
    </row>
    <row r="28" ht="15.75" customHeight="1">
      <c r="A28" s="35">
        <v>1.0</v>
      </c>
      <c r="B28" s="32" t="str">
        <f>IFERROR(__xludf.DUMMYFUNCTION("FILTER('Diseño'!D:D,'Diseño'!H:H=$C$5)"),"Redacción técnica y análisis de textos")</f>
        <v>Redacción técnica y análisis de textos</v>
      </c>
      <c r="C28" s="29"/>
      <c r="D28" s="32" t="str">
        <f>IFERROR(__xludf.DUMMYFUNCTION("FILTER('Diseño'!E:E,'Diseño'!H:H=$C$5)"),"Claridad y estilo:")</f>
        <v>Claridad y estilo:</v>
      </c>
      <c r="E28" s="29"/>
      <c r="F28" s="32" t="str">
        <f>IFERROR(__xludf.DUMMYFUNCTION("FILTER('Diseño'!F:F,'Diseño'!H:H=$C$5)"),"concisión y formato")</f>
        <v>concisión y formato</v>
      </c>
      <c r="G28" s="26"/>
      <c r="H28" s="29"/>
    </row>
    <row r="29" ht="15.75" customHeight="1">
      <c r="A29" s="35">
        <v>2.0</v>
      </c>
      <c r="B29" s="32" t="str">
        <f>IFERROR(__xludf.DUMMYFUNCTION("""COMPUTED_VALUE"""),"Redacción técnica y análisis de textos")</f>
        <v>Redacción técnica y análisis de textos</v>
      </c>
      <c r="C29" s="29"/>
      <c r="D29" s="32" t="str">
        <f>IFERROR(__xludf.DUMMYFUNCTION("""COMPUTED_VALUE"""),"Estructuras clave:")</f>
        <v>Estructuras clave:</v>
      </c>
      <c r="E29" s="29"/>
      <c r="F29" s="32" t="str">
        <f>IFERROR(__xludf.DUMMYFUNCTION("""COMPUTED_VALUE"""),"README, manual, post-mortem")</f>
        <v>README, manual, post-mortem</v>
      </c>
      <c r="G29" s="26"/>
      <c r="H29" s="29"/>
    </row>
    <row r="30" ht="15.75" customHeight="1">
      <c r="A30" s="35">
        <v>3.0</v>
      </c>
      <c r="B30" s="32" t="str">
        <f>IFERROR(__xludf.DUMMYFUNCTION("""COMPUTED_VALUE"""),"Redacción técnica y análisis de textos")</f>
        <v>Redacción técnica y análisis de textos</v>
      </c>
      <c r="C30" s="29"/>
      <c r="D30" s="32" t="str">
        <f>IFERROR(__xludf.DUMMYFUNCTION("""COMPUTED_VALUE"""),"Revisión crítica:")</f>
        <v>Revisión crítica:</v>
      </c>
      <c r="E30" s="29"/>
      <c r="F30" s="32" t="str">
        <f>IFERROR(__xludf.DUMMYFUNCTION("""COMPUTED_VALUE"""),"detectar ambigüedades")</f>
        <v>detectar ambigüedades</v>
      </c>
      <c r="G30" s="26"/>
      <c r="H30" s="29"/>
    </row>
    <row r="31" ht="15.75" customHeight="1">
      <c r="A31" s="35">
        <v>4.0</v>
      </c>
      <c r="B31" s="32" t="str">
        <f>IFERROR(__xludf.DUMMYFUNCTION("""COMPUTED_VALUE"""),"Redacción técnica y análisis de textos")</f>
        <v>Redacción técnica y análisis de textos</v>
      </c>
      <c r="C31" s="29"/>
      <c r="D31" s="32" t="str">
        <f>IFERROR(__xludf.DUMMYFUNCTION("""COMPUTED_VALUE"""),"Revisión crítica:")</f>
        <v>Revisión crítica:</v>
      </c>
      <c r="E31" s="29"/>
      <c r="F31" s="32" t="str">
        <f>IFERROR(__xludf.DUMMYFUNCTION("""COMPUTED_VALUE"""),"checklist de calidad")</f>
        <v>checklist de calidad</v>
      </c>
      <c r="G31" s="26"/>
      <c r="H31" s="29"/>
    </row>
    <row r="32" ht="15.75" customHeight="1">
      <c r="A32" s="35">
        <v>5.0</v>
      </c>
      <c r="B32" s="32" t="str">
        <f>IFERROR(__xludf.DUMMYFUNCTION("""COMPUTED_VALUE"""),"Integración práctica y evaluación")</f>
        <v>Integración práctica y evaluación</v>
      </c>
      <c r="C32" s="29"/>
      <c r="D32" s="32" t="str">
        <f>IFERROR(__xludf.DUMMYFUNCTION("""COMPUTED_VALUE"""),"Simulaciones integradoras:")</f>
        <v>Simulaciones integradoras:</v>
      </c>
      <c r="E32" s="29"/>
      <c r="F32" s="32"/>
      <c r="G32" s="26"/>
      <c r="H32" s="29"/>
    </row>
    <row r="33" ht="15.75" customHeight="1">
      <c r="A33" s="35">
        <v>6.0</v>
      </c>
      <c r="B33" s="32"/>
      <c r="C33" s="29"/>
      <c r="D33" s="32"/>
      <c r="E33" s="29"/>
      <c r="F33" s="32"/>
      <c r="G33" s="26"/>
      <c r="H33" s="29"/>
    </row>
    <row r="34" ht="15.75" customHeight="1">
      <c r="A34" s="35">
        <v>7.0</v>
      </c>
      <c r="B34" s="32"/>
      <c r="C34" s="29"/>
      <c r="D34" s="32"/>
      <c r="E34" s="29"/>
      <c r="F34" s="32"/>
      <c r="G34" s="26"/>
      <c r="H34" s="29"/>
    </row>
    <row r="35" ht="15.75" customHeight="1"/>
    <row r="36" ht="15.75" customHeight="1">
      <c r="A36" s="101" t="s">
        <v>243</v>
      </c>
    </row>
    <row r="37" ht="15.75" customHeight="1">
      <c r="A37" s="10"/>
      <c r="B37" s="10"/>
      <c r="C37" s="10"/>
      <c r="D37" s="10"/>
      <c r="E37" s="10"/>
      <c r="F37" s="10"/>
      <c r="G37" s="10"/>
      <c r="H37" s="10"/>
    </row>
    <row r="38">
      <c r="A38" s="102" t="s">
        <v>244</v>
      </c>
      <c r="B38" s="102" t="s">
        <v>81</v>
      </c>
      <c r="C38" s="104" t="s">
        <v>245</v>
      </c>
      <c r="D38" s="105" t="s">
        <v>246</v>
      </c>
      <c r="E38" s="26"/>
      <c r="F38" s="26"/>
      <c r="G38" s="26"/>
      <c r="H38" s="29"/>
      <c r="I38" s="106" t="s">
        <v>67</v>
      </c>
    </row>
    <row r="39" ht="15.75" customHeight="1">
      <c r="A39" s="35" t="s">
        <v>247</v>
      </c>
      <c r="B39" s="35" t="s">
        <v>248</v>
      </c>
      <c r="C39" s="35">
        <v>30.0</v>
      </c>
      <c r="D39" s="83">
        <v>30.0</v>
      </c>
      <c r="E39" s="26"/>
      <c r="F39" s="26"/>
      <c r="G39" s="26"/>
      <c r="H39" s="29"/>
      <c r="I39" s="35" t="str">
        <f t="shared" ref="I39:I42" si="1">IF(D39&lt;=C39,"Correcto", "Corregir")</f>
        <v>Correcto</v>
      </c>
    </row>
    <row r="40" ht="15.75" customHeight="1">
      <c r="A40" s="35" t="s">
        <v>249</v>
      </c>
      <c r="B40" s="35" t="s">
        <v>248</v>
      </c>
      <c r="C40" s="35">
        <v>6.0</v>
      </c>
      <c r="D40" s="83">
        <v>5.0</v>
      </c>
      <c r="E40" s="26"/>
      <c r="F40" s="26"/>
      <c r="G40" s="26"/>
      <c r="H40" s="29"/>
      <c r="I40" s="35" t="str">
        <f t="shared" si="1"/>
        <v>Correcto</v>
      </c>
    </row>
    <row r="41" ht="15.75" customHeight="1">
      <c r="A41" s="35" t="s">
        <v>250</v>
      </c>
      <c r="B41" s="35" t="s">
        <v>251</v>
      </c>
      <c r="C41" s="35">
        <v>10.0</v>
      </c>
      <c r="D41" s="83">
        <v>5.0</v>
      </c>
      <c r="E41" s="26"/>
      <c r="F41" s="26"/>
      <c r="G41" s="26"/>
      <c r="H41" s="29"/>
      <c r="I41" s="35" t="str">
        <f t="shared" si="1"/>
        <v>Correcto</v>
      </c>
    </row>
    <row r="42" ht="15.75" customHeight="1">
      <c r="A42" s="35" t="s">
        <v>252</v>
      </c>
      <c r="B42" s="35" t="s">
        <v>248</v>
      </c>
      <c r="C42" s="35">
        <v>30.0</v>
      </c>
      <c r="D42" s="83">
        <v>20.0</v>
      </c>
      <c r="E42" s="26"/>
      <c r="F42" s="26"/>
      <c r="G42" s="26"/>
      <c r="H42" s="29"/>
      <c r="I42" s="35" t="str">
        <f t="shared" si="1"/>
        <v>Correcto</v>
      </c>
    </row>
    <row r="43" ht="15.75" customHeight="1"/>
    <row r="44" ht="15.75" customHeight="1">
      <c r="A44" s="97" t="s">
        <v>253</v>
      </c>
      <c r="G44" s="82" t="s">
        <v>60</v>
      </c>
      <c r="H44" s="107">
        <f>B50</f>
        <v>35</v>
      </c>
    </row>
    <row r="45" ht="15.75" customHeight="1">
      <c r="G45" s="56" t="s">
        <v>254</v>
      </c>
    </row>
    <row r="46" ht="15.75" customHeight="1">
      <c r="A46" s="56" t="s">
        <v>255</v>
      </c>
    </row>
    <row r="47">
      <c r="A47" s="61" t="s">
        <v>256</v>
      </c>
      <c r="B47" s="83" t="s">
        <v>39</v>
      </c>
      <c r="C47" s="26"/>
      <c r="D47" s="26"/>
      <c r="E47" s="26"/>
      <c r="F47" s="26"/>
      <c r="G47" s="26"/>
      <c r="H47" s="29"/>
    </row>
    <row r="48" ht="15.75" customHeight="1">
      <c r="A48" s="61" t="s">
        <v>12</v>
      </c>
      <c r="B48" s="32" t="s">
        <v>257</v>
      </c>
      <c r="C48" s="26"/>
      <c r="D48" s="26"/>
      <c r="E48" s="26"/>
      <c r="F48" s="26"/>
      <c r="G48" s="26"/>
      <c r="H48" s="29"/>
    </row>
    <row r="49" ht="15.75" customHeight="1">
      <c r="A49" s="61" t="s">
        <v>226</v>
      </c>
      <c r="B49" s="108">
        <v>1.0</v>
      </c>
      <c r="C49" s="26"/>
      <c r="D49" s="26"/>
      <c r="E49" s="26"/>
      <c r="F49" s="26"/>
      <c r="G49" s="26"/>
      <c r="H49" s="29"/>
    </row>
    <row r="50" ht="15.75" customHeight="1">
      <c r="A50" s="61" t="s">
        <v>60</v>
      </c>
      <c r="B50" s="83">
        <v>35.0</v>
      </c>
      <c r="C50" s="26"/>
      <c r="D50" s="26"/>
      <c r="E50" s="26"/>
      <c r="F50" s="26"/>
      <c r="G50" s="26"/>
      <c r="H50" s="29"/>
    </row>
    <row r="51" ht="15.75" customHeight="1">
      <c r="A51" s="109" t="s">
        <v>258</v>
      </c>
      <c r="B51" s="10"/>
      <c r="C51" s="10"/>
      <c r="D51" s="10"/>
      <c r="E51" s="10"/>
      <c r="F51" s="10"/>
      <c r="G51" s="10"/>
      <c r="H51" s="10"/>
    </row>
    <row r="52" ht="15.75" customHeight="1">
      <c r="A52" s="99" t="s">
        <v>259</v>
      </c>
      <c r="B52" s="26"/>
      <c r="C52" s="26"/>
      <c r="D52" s="26"/>
      <c r="E52" s="26"/>
      <c r="F52" s="26"/>
      <c r="G52" s="26"/>
      <c r="H52" s="29"/>
    </row>
    <row r="53" ht="15.75" customHeight="1">
      <c r="A53" s="118" t="s">
        <v>311</v>
      </c>
      <c r="B53" s="89"/>
      <c r="C53" s="89"/>
      <c r="D53" s="89"/>
      <c r="E53" s="89"/>
      <c r="F53" s="89"/>
      <c r="G53" s="89"/>
      <c r="H53" s="90"/>
    </row>
    <row r="54" ht="15.75" customHeight="1">
      <c r="A54" s="110"/>
      <c r="H54" s="111"/>
    </row>
    <row r="55" ht="111.75" customHeight="1">
      <c r="A55" s="91"/>
      <c r="B55" s="92"/>
      <c r="C55" s="92"/>
      <c r="D55" s="92"/>
      <c r="E55" s="92"/>
      <c r="F55" s="92"/>
      <c r="G55" s="92"/>
      <c r="H55" s="93"/>
    </row>
    <row r="56" ht="15.75" customHeight="1"/>
    <row r="57" ht="15.75" customHeight="1">
      <c r="A57" s="56" t="s">
        <v>262</v>
      </c>
    </row>
    <row r="58">
      <c r="A58" s="61" t="s">
        <v>256</v>
      </c>
      <c r="B58" s="83" t="s">
        <v>39</v>
      </c>
      <c r="C58" s="26"/>
      <c r="D58" s="26"/>
      <c r="E58" s="26"/>
      <c r="F58" s="26"/>
      <c r="G58" s="26"/>
      <c r="H58" s="29"/>
    </row>
    <row r="59" ht="15.75" customHeight="1">
      <c r="A59" s="61" t="s">
        <v>12</v>
      </c>
      <c r="B59" s="83" t="s">
        <v>312</v>
      </c>
      <c r="C59" s="26"/>
      <c r="D59" s="26"/>
      <c r="E59" s="26"/>
      <c r="F59" s="26"/>
      <c r="G59" s="26"/>
      <c r="H59" s="29"/>
    </row>
    <row r="60" ht="15.75" customHeight="1">
      <c r="A60" s="61" t="s">
        <v>226</v>
      </c>
      <c r="B60" s="108">
        <v>10.0</v>
      </c>
      <c r="C60" s="26"/>
      <c r="D60" s="26"/>
      <c r="E60" s="26"/>
      <c r="F60" s="26"/>
      <c r="G60" s="26"/>
      <c r="H60" s="29"/>
    </row>
    <row r="61" ht="15.75" customHeight="1">
      <c r="A61" s="61" t="s">
        <v>60</v>
      </c>
      <c r="B61" s="108">
        <v>40.0</v>
      </c>
      <c r="C61" s="26"/>
      <c r="D61" s="26"/>
      <c r="E61" s="26"/>
      <c r="F61" s="26"/>
      <c r="G61" s="26"/>
      <c r="H61" s="29"/>
    </row>
    <row r="62" ht="15.75" customHeight="1">
      <c r="A62" s="114" t="s">
        <v>264</v>
      </c>
      <c r="B62" s="10"/>
      <c r="C62" s="10"/>
      <c r="D62" s="10"/>
      <c r="E62" s="10"/>
      <c r="F62" s="10"/>
      <c r="G62" s="10"/>
      <c r="H62" s="10"/>
    </row>
    <row r="63" ht="15.75" customHeight="1">
      <c r="A63" s="99" t="s">
        <v>259</v>
      </c>
      <c r="B63" s="26"/>
      <c r="C63" s="26"/>
      <c r="D63" s="26"/>
      <c r="E63" s="26"/>
      <c r="F63" s="26"/>
      <c r="G63" s="26"/>
      <c r="H63" s="29"/>
    </row>
    <row r="64" ht="15.75" customHeight="1">
      <c r="A64" s="115"/>
      <c r="B64" s="89"/>
      <c r="C64" s="89"/>
      <c r="D64" s="89"/>
      <c r="E64" s="89"/>
      <c r="F64" s="89"/>
      <c r="G64" s="89"/>
      <c r="H64" s="90"/>
    </row>
    <row r="65" ht="15.75" customHeight="1">
      <c r="A65" s="110"/>
      <c r="H65" s="111"/>
    </row>
    <row r="66" ht="15.75" customHeight="1">
      <c r="A66" s="91"/>
      <c r="B66" s="92"/>
      <c r="C66" s="92"/>
      <c r="D66" s="92"/>
      <c r="E66" s="92"/>
      <c r="F66" s="92"/>
      <c r="G66" s="92"/>
      <c r="H66" s="93"/>
    </row>
    <row r="67" ht="15.75" customHeight="1"/>
    <row r="68" ht="15.75" customHeight="1">
      <c r="A68" s="97" t="s">
        <v>266</v>
      </c>
      <c r="G68" s="82" t="s">
        <v>60</v>
      </c>
      <c r="H68" s="107">
        <f>B70</f>
        <v>5</v>
      </c>
    </row>
    <row r="69" ht="15.75" customHeight="1">
      <c r="G69" s="56" t="s">
        <v>267</v>
      </c>
    </row>
    <row r="70" ht="15.75" customHeight="1">
      <c r="A70" s="61" t="s">
        <v>60</v>
      </c>
      <c r="B70" s="108">
        <v>5.0</v>
      </c>
      <c r="C70" s="26"/>
      <c r="D70" s="26"/>
      <c r="E70" s="26"/>
      <c r="F70" s="26"/>
      <c r="G70" s="26"/>
      <c r="H70" s="29"/>
    </row>
    <row r="71" ht="15.75" customHeight="1">
      <c r="A71" s="105" t="s">
        <v>268</v>
      </c>
      <c r="B71" s="26"/>
      <c r="C71" s="26"/>
      <c r="D71" s="26"/>
      <c r="E71" s="26"/>
      <c r="F71" s="26"/>
      <c r="G71" s="26"/>
      <c r="H71" s="29"/>
    </row>
    <row r="72" ht="15.75" customHeight="1">
      <c r="A72" s="118" t="s">
        <v>313</v>
      </c>
      <c r="B72" s="89"/>
      <c r="C72" s="89"/>
      <c r="D72" s="89"/>
      <c r="E72" s="89"/>
      <c r="F72" s="89"/>
      <c r="G72" s="89"/>
      <c r="H72" s="90"/>
    </row>
    <row r="73" ht="45.75" customHeight="1">
      <c r="A73" s="91"/>
      <c r="B73" s="92"/>
      <c r="C73" s="92"/>
      <c r="D73" s="92"/>
      <c r="E73" s="92"/>
      <c r="F73" s="92"/>
      <c r="G73" s="92"/>
      <c r="H73" s="93"/>
    </row>
    <row r="74" ht="15.75" customHeight="1">
      <c r="A74" s="56"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0" t="s">
        <v>42</v>
      </c>
    </row>
    <row r="3" ht="15.75" customHeight="1"/>
    <row r="4" ht="15.75" customHeight="1">
      <c r="B4" s="23" t="s">
        <v>3</v>
      </c>
      <c r="C4" s="32" t="str">
        <f>'Diseño'!C4</f>
        <v>0089 - Comunicación Asertiva</v>
      </c>
      <c r="D4" s="26"/>
      <c r="E4" s="26"/>
      <c r="F4" s="26"/>
      <c r="G4" s="29"/>
    </row>
    <row r="5" ht="15.75" customHeight="1">
      <c r="B5" s="95" t="s">
        <v>38</v>
      </c>
      <c r="C5" s="83">
        <v>60.0</v>
      </c>
      <c r="D5" s="26"/>
      <c r="E5" s="26"/>
      <c r="F5" s="26"/>
      <c r="G5" s="29"/>
    </row>
    <row r="6" ht="15.75" customHeight="1">
      <c r="B6" s="95" t="s">
        <v>226</v>
      </c>
      <c r="C6" s="83">
        <v>50.0</v>
      </c>
      <c r="D6" s="26"/>
      <c r="E6" s="26"/>
      <c r="F6" s="26"/>
      <c r="G6" s="29"/>
    </row>
    <row r="7" ht="15.75" customHeight="1">
      <c r="B7" s="11" t="s">
        <v>315</v>
      </c>
    </row>
    <row r="8" ht="15.75" customHeight="1"/>
    <row r="9" ht="15.75" customHeight="1">
      <c r="A9" s="97" t="s">
        <v>316</v>
      </c>
      <c r="E9" s="82" t="s">
        <v>226</v>
      </c>
      <c r="F9" s="98">
        <v>20.0</v>
      </c>
      <c r="G9" s="82" t="s">
        <v>317</v>
      </c>
      <c r="H9" s="98">
        <v>24.0</v>
      </c>
    </row>
    <row r="10" ht="15.75" customHeight="1">
      <c r="A10" s="11" t="s">
        <v>248</v>
      </c>
    </row>
    <row r="11" ht="15.75" customHeight="1">
      <c r="A11" s="102" t="s">
        <v>238</v>
      </c>
      <c r="B11" s="83" t="s">
        <v>74</v>
      </c>
      <c r="C11" s="26"/>
      <c r="D11" s="26"/>
      <c r="E11" s="26"/>
      <c r="F11" s="26"/>
      <c r="G11" s="26"/>
      <c r="H11" s="29"/>
    </row>
    <row r="12" ht="15.75" customHeight="1">
      <c r="A12" s="102" t="s">
        <v>238</v>
      </c>
      <c r="B12" s="83" t="s">
        <v>24</v>
      </c>
      <c r="C12" s="26"/>
      <c r="D12" s="26"/>
      <c r="E12" s="26"/>
      <c r="F12" s="26"/>
      <c r="G12" s="26"/>
      <c r="H12" s="29"/>
    </row>
    <row r="13" ht="15.75" customHeight="1">
      <c r="A13" s="102" t="s">
        <v>238</v>
      </c>
      <c r="B13" s="83" t="s">
        <v>118</v>
      </c>
      <c r="C13" s="26"/>
      <c r="D13" s="26"/>
      <c r="E13" s="26"/>
      <c r="F13" s="26"/>
      <c r="G13" s="26"/>
      <c r="H13" s="29"/>
    </row>
    <row r="14" ht="15.75" customHeight="1">
      <c r="A14" s="102" t="s">
        <v>318</v>
      </c>
      <c r="B14" s="83" t="s">
        <v>319</v>
      </c>
      <c r="C14" s="26"/>
      <c r="D14" s="26"/>
      <c r="E14" s="26"/>
      <c r="F14" s="26"/>
      <c r="G14" s="26"/>
      <c r="H14" s="29"/>
    </row>
    <row r="15" ht="15.75" customHeight="1">
      <c r="A15" s="99" t="s">
        <v>320</v>
      </c>
      <c r="B15" s="26"/>
      <c r="C15" s="26"/>
      <c r="D15" s="26"/>
      <c r="E15" s="26"/>
      <c r="F15" s="26"/>
      <c r="G15" s="26"/>
      <c r="H15" s="29"/>
    </row>
    <row r="16" ht="15.75" customHeight="1">
      <c r="A16" s="100" t="s">
        <v>322</v>
      </c>
      <c r="B16" s="89"/>
      <c r="C16" s="89"/>
      <c r="D16" s="89"/>
      <c r="E16" s="89"/>
      <c r="F16" s="89"/>
      <c r="G16" s="89"/>
      <c r="H16" s="90"/>
    </row>
    <row r="17" ht="15.75" customHeight="1">
      <c r="A17" s="110"/>
      <c r="H17" s="111"/>
    </row>
    <row r="18" ht="15.75" customHeight="1">
      <c r="A18" s="91"/>
      <c r="B18" s="92"/>
      <c r="C18" s="92"/>
      <c r="D18" s="92"/>
      <c r="E18" s="92"/>
      <c r="F18" s="92"/>
      <c r="G18" s="92"/>
      <c r="H18" s="93"/>
    </row>
    <row r="19" ht="15.75" customHeight="1">
      <c r="A19" s="99" t="s">
        <v>325</v>
      </c>
      <c r="B19" s="26"/>
      <c r="C19" s="26"/>
      <c r="D19" s="26"/>
      <c r="E19" s="26"/>
      <c r="F19" s="26"/>
      <c r="G19" s="26"/>
      <c r="H19" s="29"/>
    </row>
    <row r="20" ht="15.75" customHeight="1">
      <c r="A20" s="118" t="s">
        <v>326</v>
      </c>
      <c r="B20" s="89"/>
      <c r="C20" s="89"/>
      <c r="D20" s="89"/>
      <c r="E20" s="89"/>
      <c r="F20" s="89"/>
      <c r="G20" s="89"/>
      <c r="H20" s="90"/>
    </row>
    <row r="21" ht="15.75" customHeight="1">
      <c r="A21" s="110"/>
      <c r="H21" s="111"/>
    </row>
    <row r="22" ht="15.75" customHeight="1">
      <c r="A22" s="110"/>
      <c r="H22" s="111"/>
    </row>
    <row r="23" ht="37.5" customHeight="1">
      <c r="A23" s="91"/>
      <c r="B23" s="92"/>
      <c r="C23" s="92"/>
      <c r="D23" s="92"/>
      <c r="E23" s="92"/>
      <c r="F23" s="92"/>
      <c r="G23" s="92"/>
      <c r="H23" s="93"/>
    </row>
    <row r="24" ht="15.75" customHeight="1"/>
    <row r="25" ht="15.75" customHeight="1"/>
    <row r="26" ht="15.75" customHeight="1">
      <c r="A26" s="97" t="s">
        <v>327</v>
      </c>
      <c r="E26" s="82" t="s">
        <v>226</v>
      </c>
      <c r="F26" s="98">
        <v>30.0</v>
      </c>
      <c r="G26" s="82" t="s">
        <v>317</v>
      </c>
      <c r="H26" s="98">
        <v>36.0</v>
      </c>
    </row>
    <row r="27" ht="15.75" customHeight="1">
      <c r="A27" s="11" t="s">
        <v>248</v>
      </c>
    </row>
    <row r="28" ht="15.75" customHeight="1">
      <c r="A28" s="102" t="s">
        <v>238</v>
      </c>
      <c r="B28" s="83" t="s">
        <v>118</v>
      </c>
      <c r="C28" s="26"/>
      <c r="D28" s="26"/>
      <c r="E28" s="26"/>
      <c r="F28" s="26"/>
      <c r="G28" s="26"/>
      <c r="H28" s="29"/>
    </row>
    <row r="29" ht="15.75" customHeight="1">
      <c r="A29" s="102" t="s">
        <v>238</v>
      </c>
      <c r="B29" s="83" t="s">
        <v>149</v>
      </c>
      <c r="C29" s="26"/>
      <c r="D29" s="26"/>
      <c r="E29" s="26"/>
      <c r="F29" s="26"/>
      <c r="G29" s="26"/>
      <c r="H29" s="29"/>
    </row>
    <row r="30" ht="15.75" customHeight="1">
      <c r="A30" s="102" t="s">
        <v>238</v>
      </c>
      <c r="B30" s="83" t="s">
        <v>39</v>
      </c>
      <c r="C30" s="26"/>
      <c r="D30" s="26"/>
      <c r="E30" s="26"/>
      <c r="F30" s="26"/>
      <c r="G30" s="26"/>
      <c r="H30" s="29"/>
    </row>
    <row r="31" ht="15.75" customHeight="1">
      <c r="A31" s="102" t="s">
        <v>318</v>
      </c>
      <c r="B31" s="83" t="s">
        <v>330</v>
      </c>
      <c r="C31" s="26"/>
      <c r="D31" s="26"/>
      <c r="E31" s="26"/>
      <c r="F31" s="26"/>
      <c r="G31" s="26"/>
      <c r="H31" s="29"/>
    </row>
    <row r="32" ht="15.75" customHeight="1">
      <c r="A32" s="99" t="s">
        <v>320</v>
      </c>
      <c r="B32" s="26"/>
      <c r="C32" s="26"/>
      <c r="D32" s="26"/>
      <c r="E32" s="26"/>
      <c r="F32" s="26"/>
      <c r="G32" s="26"/>
      <c r="H32" s="29"/>
    </row>
    <row r="33" ht="15.75" customHeight="1">
      <c r="A33" s="100" t="s">
        <v>332</v>
      </c>
      <c r="B33" s="89"/>
      <c r="C33" s="89"/>
      <c r="D33" s="89"/>
      <c r="E33" s="89"/>
      <c r="F33" s="89"/>
      <c r="G33" s="89"/>
      <c r="H33" s="90"/>
    </row>
    <row r="34" ht="15.75" customHeight="1">
      <c r="A34" s="110"/>
      <c r="H34" s="111"/>
    </row>
    <row r="35" ht="15.75" customHeight="1">
      <c r="A35" s="91"/>
      <c r="B35" s="92"/>
      <c r="C35" s="92"/>
      <c r="D35" s="92"/>
      <c r="E35" s="92"/>
      <c r="F35" s="92"/>
      <c r="G35" s="92"/>
      <c r="H35" s="93"/>
    </row>
    <row r="36" ht="15.75" customHeight="1">
      <c r="A36" s="99" t="s">
        <v>325</v>
      </c>
      <c r="B36" s="26"/>
      <c r="C36" s="26"/>
      <c r="D36" s="26"/>
      <c r="E36" s="26"/>
      <c r="F36" s="26"/>
      <c r="G36" s="26"/>
      <c r="H36" s="29"/>
    </row>
    <row r="37" ht="15.75" customHeight="1">
      <c r="A37" s="118" t="s">
        <v>334</v>
      </c>
      <c r="B37" s="89"/>
      <c r="C37" s="89"/>
      <c r="D37" s="89"/>
      <c r="E37" s="89"/>
      <c r="F37" s="89"/>
      <c r="G37" s="89"/>
      <c r="H37" s="90"/>
    </row>
    <row r="38" ht="15.75" customHeight="1">
      <c r="A38" s="110"/>
      <c r="H38" s="111"/>
    </row>
    <row r="39" ht="15.75" customHeight="1">
      <c r="A39" s="110"/>
      <c r="H39" s="111"/>
    </row>
    <row r="40" ht="50.25" customHeight="1">
      <c r="A40" s="91"/>
      <c r="B40" s="92"/>
      <c r="C40" s="92"/>
      <c r="D40" s="92"/>
      <c r="E40" s="92"/>
      <c r="F40" s="92"/>
      <c r="G40" s="92"/>
      <c r="H40" s="93"/>
    </row>
    <row r="41" ht="15.75" customHeight="1"/>
    <row r="42" ht="15.75" customHeight="1"/>
    <row r="43" ht="15.75" customHeight="1">
      <c r="A43" s="97" t="s">
        <v>336</v>
      </c>
      <c r="E43" s="82" t="s">
        <v>226</v>
      </c>
      <c r="F43" s="107"/>
      <c r="G43" s="82" t="s">
        <v>317</v>
      </c>
      <c r="H43" s="107"/>
    </row>
    <row r="44" ht="15.75" customHeight="1">
      <c r="A44" s="109" t="s">
        <v>335</v>
      </c>
    </row>
    <row r="45" ht="15.75" customHeight="1">
      <c r="A45" s="102" t="s">
        <v>238</v>
      </c>
      <c r="B45" s="32"/>
      <c r="C45" s="26"/>
      <c r="D45" s="26"/>
      <c r="E45" s="26"/>
      <c r="F45" s="26"/>
      <c r="G45" s="26"/>
      <c r="H45" s="29"/>
    </row>
    <row r="46" ht="15.75" customHeight="1">
      <c r="A46" s="102" t="s">
        <v>238</v>
      </c>
      <c r="B46" s="32"/>
      <c r="C46" s="26"/>
      <c r="D46" s="26"/>
      <c r="E46" s="26"/>
      <c r="F46" s="26"/>
      <c r="G46" s="26"/>
      <c r="H46" s="29"/>
    </row>
    <row r="47" ht="15.75" customHeight="1">
      <c r="A47" s="102" t="s">
        <v>238</v>
      </c>
      <c r="B47" s="32"/>
      <c r="C47" s="26"/>
      <c r="D47" s="26"/>
      <c r="E47" s="26"/>
      <c r="F47" s="26"/>
      <c r="G47" s="26"/>
      <c r="H47" s="29"/>
    </row>
    <row r="48" ht="15.75" customHeight="1">
      <c r="A48" s="102" t="s">
        <v>318</v>
      </c>
      <c r="B48" s="32"/>
      <c r="C48" s="26"/>
      <c r="D48" s="26"/>
      <c r="E48" s="26"/>
      <c r="F48" s="26"/>
      <c r="G48" s="26"/>
      <c r="H48" s="29"/>
    </row>
    <row r="49" ht="15.75" customHeight="1">
      <c r="A49" s="99" t="s">
        <v>320</v>
      </c>
      <c r="B49" s="26"/>
      <c r="C49" s="26"/>
      <c r="D49" s="26"/>
      <c r="E49" s="26"/>
      <c r="F49" s="26"/>
      <c r="G49" s="26"/>
      <c r="H49" s="29"/>
    </row>
    <row r="50" ht="15.75" customHeight="1">
      <c r="A50" s="115"/>
      <c r="B50" s="89"/>
      <c r="C50" s="89"/>
      <c r="D50" s="89"/>
      <c r="E50" s="89"/>
      <c r="F50" s="89"/>
      <c r="G50" s="89"/>
      <c r="H50" s="90"/>
    </row>
    <row r="51" ht="15.75" customHeight="1">
      <c r="A51" s="110"/>
      <c r="H51" s="111"/>
    </row>
    <row r="52" ht="15.75" customHeight="1">
      <c r="A52" s="91"/>
      <c r="B52" s="92"/>
      <c r="C52" s="92"/>
      <c r="D52" s="92"/>
      <c r="E52" s="92"/>
      <c r="F52" s="92"/>
      <c r="G52" s="92"/>
      <c r="H52" s="93"/>
    </row>
    <row r="53" ht="15.75" customHeight="1">
      <c r="A53" s="99" t="s">
        <v>325</v>
      </c>
      <c r="B53" s="26"/>
      <c r="C53" s="26"/>
      <c r="D53" s="26"/>
      <c r="E53" s="26"/>
      <c r="F53" s="26"/>
      <c r="G53" s="26"/>
      <c r="H53" s="29"/>
    </row>
    <row r="54" ht="15.75" customHeight="1">
      <c r="A54" s="115"/>
      <c r="B54" s="89"/>
      <c r="C54" s="89"/>
      <c r="D54" s="89"/>
      <c r="E54" s="89"/>
      <c r="F54" s="89"/>
      <c r="G54" s="89"/>
      <c r="H54" s="90"/>
    </row>
    <row r="55" ht="15.75" customHeight="1">
      <c r="A55" s="110"/>
      <c r="H55" s="111"/>
    </row>
    <row r="56" ht="15.75" customHeight="1">
      <c r="A56" s="110"/>
      <c r="H56" s="111"/>
    </row>
    <row r="57" ht="15.75" customHeight="1">
      <c r="A57" s="91"/>
      <c r="B57" s="92"/>
      <c r="C57" s="92"/>
      <c r="D57" s="92"/>
      <c r="E57" s="92"/>
      <c r="F57" s="92"/>
      <c r="G57" s="92"/>
      <c r="H57" s="9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45:B47">
      <formula1>Metadata!$I$17:$I$40</formula1>
    </dataValidation>
    <dataValidation type="list" allowBlank="1" showErrorMessage="1" sqref="B11:B13 B28:B30">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0" t="s">
        <v>314</v>
      </c>
    </row>
    <row r="3" ht="15.75" customHeight="1"/>
    <row r="4" ht="15.75" customHeight="1">
      <c r="B4" s="23" t="s">
        <v>3</v>
      </c>
      <c r="C4" s="32" t="str">
        <f>'Diseño'!C4</f>
        <v>0089 - Comunicación Asertiva</v>
      </c>
      <c r="D4" s="26"/>
      <c r="E4" s="26"/>
      <c r="F4" s="26"/>
      <c r="G4" s="29"/>
    </row>
    <row r="5" ht="15.75" customHeight="1">
      <c r="B5" s="95" t="s">
        <v>38</v>
      </c>
      <c r="C5" s="32">
        <f>H9+H26+H43+H60+H77+H94+H111</f>
        <v>22</v>
      </c>
      <c r="D5" s="26"/>
      <c r="E5" s="26"/>
      <c r="F5" s="26"/>
      <c r="G5" s="29"/>
    </row>
    <row r="6" ht="15.75" customHeight="1">
      <c r="B6" s="95" t="s">
        <v>226</v>
      </c>
      <c r="C6" s="32">
        <f>F9+F26+F43+F60+F77+F94+F111</f>
        <v>20</v>
      </c>
      <c r="D6" s="26"/>
      <c r="E6" s="26"/>
      <c r="F6" s="26"/>
      <c r="G6" s="29"/>
    </row>
    <row r="7" ht="15.75" customHeight="1">
      <c r="B7" s="11" t="s">
        <v>321</v>
      </c>
    </row>
    <row r="8" ht="15.75" customHeight="1"/>
    <row r="9" ht="15.75" customHeight="1">
      <c r="A9" s="97" t="s">
        <v>323</v>
      </c>
      <c r="E9" s="82" t="s">
        <v>226</v>
      </c>
      <c r="F9" s="98">
        <v>10.0</v>
      </c>
      <c r="G9" s="82" t="s">
        <v>317</v>
      </c>
      <c r="H9" s="98">
        <v>10.0</v>
      </c>
    </row>
    <row r="10" ht="15.75" customHeight="1">
      <c r="A10" s="11" t="s">
        <v>324</v>
      </c>
    </row>
    <row r="11" ht="15.75" customHeight="1">
      <c r="A11" s="102" t="s">
        <v>238</v>
      </c>
      <c r="B11" s="83" t="s">
        <v>97</v>
      </c>
      <c r="C11" s="26"/>
      <c r="D11" s="26"/>
      <c r="E11" s="26"/>
      <c r="F11" s="26"/>
      <c r="G11" s="26"/>
      <c r="H11" s="29"/>
    </row>
    <row r="12" ht="15.75" customHeight="1">
      <c r="A12" s="102" t="s">
        <v>238</v>
      </c>
      <c r="B12" s="83" t="s">
        <v>56</v>
      </c>
      <c r="C12" s="26"/>
      <c r="D12" s="26"/>
      <c r="E12" s="26"/>
      <c r="F12" s="26"/>
      <c r="G12" s="26"/>
      <c r="H12" s="29"/>
    </row>
    <row r="13" ht="15.75" customHeight="1">
      <c r="A13" s="102" t="s">
        <v>238</v>
      </c>
      <c r="B13" s="83" t="s">
        <v>74</v>
      </c>
      <c r="C13" s="26"/>
      <c r="D13" s="26"/>
      <c r="E13" s="26"/>
      <c r="F13" s="26"/>
      <c r="G13" s="26"/>
      <c r="H13" s="29"/>
    </row>
    <row r="14" ht="15.75" customHeight="1">
      <c r="A14" s="102" t="s">
        <v>318</v>
      </c>
      <c r="B14" s="83" t="s">
        <v>328</v>
      </c>
      <c r="C14" s="26"/>
      <c r="D14" s="26"/>
      <c r="E14" s="26"/>
      <c r="F14" s="26"/>
      <c r="G14" s="26"/>
      <c r="H14" s="29"/>
    </row>
    <row r="15" ht="15.75" customHeight="1">
      <c r="A15" s="99" t="s">
        <v>320</v>
      </c>
      <c r="B15" s="26"/>
      <c r="C15" s="26"/>
      <c r="D15" s="26"/>
      <c r="E15" s="26"/>
      <c r="F15" s="26"/>
      <c r="G15" s="26"/>
      <c r="H15" s="29"/>
    </row>
    <row r="16" ht="15.75" customHeight="1">
      <c r="A16" s="100" t="s">
        <v>329</v>
      </c>
      <c r="B16" s="89"/>
      <c r="C16" s="89"/>
      <c r="D16" s="89"/>
      <c r="E16" s="89"/>
      <c r="F16" s="89"/>
      <c r="G16" s="89"/>
      <c r="H16" s="90"/>
    </row>
    <row r="17" ht="15.75" customHeight="1">
      <c r="A17" s="110"/>
      <c r="H17" s="111"/>
    </row>
    <row r="18" ht="15.75" customHeight="1">
      <c r="A18" s="91"/>
      <c r="B18" s="92"/>
      <c r="C18" s="92"/>
      <c r="D18" s="92"/>
      <c r="E18" s="92"/>
      <c r="F18" s="92"/>
      <c r="G18" s="92"/>
      <c r="H18" s="93"/>
    </row>
    <row r="19" ht="15.75" customHeight="1">
      <c r="A19" s="99" t="s">
        <v>325</v>
      </c>
      <c r="B19" s="26"/>
      <c r="C19" s="26"/>
      <c r="D19" s="26"/>
      <c r="E19" s="26"/>
      <c r="F19" s="26"/>
      <c r="G19" s="26"/>
      <c r="H19" s="29"/>
    </row>
    <row r="20" ht="15.75" customHeight="1">
      <c r="A20" s="118" t="s">
        <v>331</v>
      </c>
      <c r="B20" s="89"/>
      <c r="C20" s="89"/>
      <c r="D20" s="89"/>
      <c r="E20" s="89"/>
      <c r="F20" s="89"/>
      <c r="G20" s="89"/>
      <c r="H20" s="90"/>
    </row>
    <row r="21" ht="15.75" customHeight="1">
      <c r="A21" s="110"/>
      <c r="H21" s="111"/>
    </row>
    <row r="22" ht="15.75" customHeight="1">
      <c r="A22" s="110"/>
      <c r="H22" s="111"/>
    </row>
    <row r="23" ht="54.0" customHeight="1">
      <c r="A23" s="91"/>
      <c r="B23" s="92"/>
      <c r="C23" s="92"/>
      <c r="D23" s="92"/>
      <c r="E23" s="92"/>
      <c r="F23" s="92"/>
      <c r="G23" s="92"/>
      <c r="H23" s="93"/>
    </row>
    <row r="24" ht="15.75" customHeight="1"/>
    <row r="25" ht="15.75" customHeight="1"/>
    <row r="26" ht="15.75" customHeight="1">
      <c r="A26" s="97" t="s">
        <v>333</v>
      </c>
      <c r="E26" s="82" t="s">
        <v>226</v>
      </c>
      <c r="F26" s="98">
        <v>10.0</v>
      </c>
      <c r="G26" s="82" t="s">
        <v>317</v>
      </c>
      <c r="H26" s="98">
        <v>12.0</v>
      </c>
    </row>
    <row r="27" ht="15.75" customHeight="1">
      <c r="A27" s="109" t="s">
        <v>335</v>
      </c>
    </row>
    <row r="28" ht="15.75" customHeight="1">
      <c r="A28" s="102" t="s">
        <v>238</v>
      </c>
      <c r="B28" s="83" t="s">
        <v>97</v>
      </c>
      <c r="C28" s="26"/>
      <c r="D28" s="26"/>
      <c r="E28" s="26"/>
      <c r="F28" s="26"/>
      <c r="G28" s="26"/>
      <c r="H28" s="29"/>
    </row>
    <row r="29" ht="15.75" customHeight="1">
      <c r="A29" s="102" t="s">
        <v>238</v>
      </c>
      <c r="B29" s="83" t="s">
        <v>149</v>
      </c>
      <c r="C29" s="26"/>
      <c r="D29" s="26"/>
      <c r="E29" s="26"/>
      <c r="F29" s="26"/>
      <c r="G29" s="26"/>
      <c r="H29" s="29"/>
    </row>
    <row r="30" ht="15.75" customHeight="1">
      <c r="A30" s="102" t="s">
        <v>238</v>
      </c>
      <c r="B30" s="83" t="s">
        <v>39</v>
      </c>
      <c r="C30" s="26"/>
      <c r="D30" s="26"/>
      <c r="E30" s="26"/>
      <c r="F30" s="26"/>
      <c r="G30" s="26"/>
      <c r="H30" s="29"/>
    </row>
    <row r="31" ht="15.75" customHeight="1">
      <c r="A31" s="102" t="s">
        <v>318</v>
      </c>
      <c r="B31" s="32"/>
      <c r="C31" s="26"/>
      <c r="D31" s="26"/>
      <c r="E31" s="26"/>
      <c r="F31" s="26"/>
      <c r="G31" s="26"/>
      <c r="H31" s="29"/>
    </row>
    <row r="32" ht="15.75" customHeight="1">
      <c r="A32" s="99" t="s">
        <v>320</v>
      </c>
      <c r="B32" s="26"/>
      <c r="C32" s="26"/>
      <c r="D32" s="26"/>
      <c r="E32" s="26"/>
      <c r="F32" s="26"/>
      <c r="G32" s="26"/>
      <c r="H32" s="29"/>
    </row>
    <row r="33" ht="15.75" customHeight="1">
      <c r="A33" s="100" t="s">
        <v>337</v>
      </c>
      <c r="B33" s="89"/>
      <c r="C33" s="89"/>
      <c r="D33" s="89"/>
      <c r="E33" s="89"/>
      <c r="F33" s="89"/>
      <c r="G33" s="89"/>
      <c r="H33" s="90"/>
    </row>
    <row r="34" ht="15.75" customHeight="1">
      <c r="A34" s="110"/>
      <c r="H34" s="111"/>
    </row>
    <row r="35" ht="15.75" customHeight="1">
      <c r="A35" s="91"/>
      <c r="B35" s="92"/>
      <c r="C35" s="92"/>
      <c r="D35" s="92"/>
      <c r="E35" s="92"/>
      <c r="F35" s="92"/>
      <c r="G35" s="92"/>
      <c r="H35" s="93"/>
    </row>
    <row r="36" ht="15.75" customHeight="1">
      <c r="A36" s="99" t="s">
        <v>325</v>
      </c>
      <c r="B36" s="26"/>
      <c r="C36" s="26"/>
      <c r="D36" s="26"/>
      <c r="E36" s="26"/>
      <c r="F36" s="26"/>
      <c r="G36" s="26"/>
      <c r="H36" s="29"/>
    </row>
    <row r="37" ht="15.75" customHeight="1">
      <c r="A37" s="118" t="s">
        <v>338</v>
      </c>
      <c r="B37" s="89"/>
      <c r="C37" s="89"/>
      <c r="D37" s="89"/>
      <c r="E37" s="89"/>
      <c r="F37" s="89"/>
      <c r="G37" s="89"/>
      <c r="H37" s="90"/>
    </row>
    <row r="38" ht="15.75" customHeight="1">
      <c r="A38" s="110"/>
      <c r="H38" s="111"/>
    </row>
    <row r="39" ht="15.75" customHeight="1">
      <c r="A39" s="110"/>
      <c r="H39" s="111"/>
    </row>
    <row r="40" ht="56.25" customHeight="1">
      <c r="A40" s="91"/>
      <c r="B40" s="92"/>
      <c r="C40" s="92"/>
      <c r="D40" s="92"/>
      <c r="E40" s="92"/>
      <c r="F40" s="92"/>
      <c r="G40" s="92"/>
      <c r="H40" s="93"/>
    </row>
    <row r="41" ht="15.75" customHeight="1"/>
    <row r="42" ht="15.75" customHeight="1"/>
    <row r="43" ht="15.75" customHeight="1">
      <c r="A43" s="97" t="s">
        <v>339</v>
      </c>
      <c r="E43" s="82" t="s">
        <v>226</v>
      </c>
      <c r="F43" s="107"/>
      <c r="G43" s="82" t="s">
        <v>317</v>
      </c>
      <c r="H43" s="107"/>
    </row>
    <row r="44" ht="15.75" customHeight="1">
      <c r="A44" s="109" t="s">
        <v>335</v>
      </c>
    </row>
    <row r="45" ht="15.75" customHeight="1">
      <c r="A45" s="102" t="s">
        <v>238</v>
      </c>
      <c r="B45" s="32"/>
      <c r="C45" s="26"/>
      <c r="D45" s="26"/>
      <c r="E45" s="26"/>
      <c r="F45" s="26"/>
      <c r="G45" s="26"/>
      <c r="H45" s="29"/>
    </row>
    <row r="46" ht="15.75" customHeight="1">
      <c r="A46" s="102" t="s">
        <v>238</v>
      </c>
      <c r="B46" s="32"/>
      <c r="C46" s="26"/>
      <c r="D46" s="26"/>
      <c r="E46" s="26"/>
      <c r="F46" s="26"/>
      <c r="G46" s="26"/>
      <c r="H46" s="29"/>
    </row>
    <row r="47" ht="15.75" customHeight="1">
      <c r="A47" s="102" t="s">
        <v>238</v>
      </c>
      <c r="B47" s="32"/>
      <c r="C47" s="26"/>
      <c r="D47" s="26"/>
      <c r="E47" s="26"/>
      <c r="F47" s="26"/>
      <c r="G47" s="26"/>
      <c r="H47" s="29"/>
    </row>
    <row r="48" ht="15.75" customHeight="1">
      <c r="A48" s="102" t="s">
        <v>318</v>
      </c>
      <c r="B48" s="32"/>
      <c r="C48" s="26"/>
      <c r="D48" s="26"/>
      <c r="E48" s="26"/>
      <c r="F48" s="26"/>
      <c r="G48" s="26"/>
      <c r="H48" s="29"/>
    </row>
    <row r="49" ht="15.75" customHeight="1">
      <c r="A49" s="99" t="s">
        <v>320</v>
      </c>
      <c r="B49" s="26"/>
      <c r="C49" s="26"/>
      <c r="D49" s="26"/>
      <c r="E49" s="26"/>
      <c r="F49" s="26"/>
      <c r="G49" s="26"/>
      <c r="H49" s="29"/>
    </row>
    <row r="50" ht="15.75" customHeight="1">
      <c r="A50" s="115"/>
      <c r="B50" s="89"/>
      <c r="C50" s="89"/>
      <c r="D50" s="89"/>
      <c r="E50" s="89"/>
      <c r="F50" s="89"/>
      <c r="G50" s="89"/>
      <c r="H50" s="90"/>
    </row>
    <row r="51" ht="15.75" customHeight="1">
      <c r="A51" s="110"/>
      <c r="H51" s="111"/>
    </row>
    <row r="52" ht="15.75" customHeight="1">
      <c r="A52" s="91"/>
      <c r="B52" s="92"/>
      <c r="C52" s="92"/>
      <c r="D52" s="92"/>
      <c r="E52" s="92"/>
      <c r="F52" s="92"/>
      <c r="G52" s="92"/>
      <c r="H52" s="93"/>
    </row>
    <row r="53" ht="15.75" customHeight="1">
      <c r="A53" s="99" t="s">
        <v>325</v>
      </c>
      <c r="B53" s="26"/>
      <c r="C53" s="26"/>
      <c r="D53" s="26"/>
      <c r="E53" s="26"/>
      <c r="F53" s="26"/>
      <c r="G53" s="26"/>
      <c r="H53" s="29"/>
    </row>
    <row r="54" ht="15.75" customHeight="1">
      <c r="A54" s="115"/>
      <c r="B54" s="89"/>
      <c r="C54" s="89"/>
      <c r="D54" s="89"/>
      <c r="E54" s="89"/>
      <c r="F54" s="89"/>
      <c r="G54" s="89"/>
      <c r="H54" s="90"/>
    </row>
    <row r="55" ht="15.75" customHeight="1">
      <c r="A55" s="110"/>
      <c r="H55" s="111"/>
    </row>
    <row r="56" ht="15.75" customHeight="1">
      <c r="A56" s="110"/>
      <c r="H56" s="111"/>
    </row>
    <row r="57" ht="15.75" customHeight="1">
      <c r="A57" s="91"/>
      <c r="B57" s="92"/>
      <c r="C57" s="92"/>
      <c r="D57" s="92"/>
      <c r="E57" s="92"/>
      <c r="F57" s="92"/>
      <c r="G57" s="92"/>
      <c r="H57" s="93"/>
    </row>
    <row r="58" ht="15.75" customHeight="1"/>
    <row r="59" ht="15.75" customHeight="1"/>
    <row r="60" ht="15.75" customHeight="1">
      <c r="A60" s="97" t="s">
        <v>340</v>
      </c>
      <c r="E60" s="82" t="s">
        <v>226</v>
      </c>
      <c r="F60" s="107"/>
      <c r="G60" s="82" t="s">
        <v>317</v>
      </c>
      <c r="H60" s="107"/>
    </row>
    <row r="61" ht="15.75" customHeight="1">
      <c r="A61" s="109" t="s">
        <v>335</v>
      </c>
    </row>
    <row r="62" ht="15.75" customHeight="1">
      <c r="A62" s="102" t="s">
        <v>238</v>
      </c>
      <c r="B62" s="32"/>
      <c r="C62" s="26"/>
      <c r="D62" s="26"/>
      <c r="E62" s="26"/>
      <c r="F62" s="26"/>
      <c r="G62" s="26"/>
      <c r="H62" s="29"/>
    </row>
    <row r="63" ht="15.75" customHeight="1">
      <c r="A63" s="102" t="s">
        <v>238</v>
      </c>
      <c r="B63" s="32"/>
      <c r="C63" s="26"/>
      <c r="D63" s="26"/>
      <c r="E63" s="26"/>
      <c r="F63" s="26"/>
      <c r="G63" s="26"/>
      <c r="H63" s="29"/>
    </row>
    <row r="64" ht="15.75" customHeight="1">
      <c r="A64" s="102" t="s">
        <v>238</v>
      </c>
      <c r="B64" s="32"/>
      <c r="C64" s="26"/>
      <c r="D64" s="26"/>
      <c r="E64" s="26"/>
      <c r="F64" s="26"/>
      <c r="G64" s="26"/>
      <c r="H64" s="29"/>
    </row>
    <row r="65" ht="15.75" customHeight="1">
      <c r="A65" s="102" t="s">
        <v>318</v>
      </c>
      <c r="B65" s="32"/>
      <c r="C65" s="26"/>
      <c r="D65" s="26"/>
      <c r="E65" s="26"/>
      <c r="F65" s="26"/>
      <c r="G65" s="26"/>
      <c r="H65" s="29"/>
    </row>
    <row r="66" ht="15.75" customHeight="1">
      <c r="A66" s="99" t="s">
        <v>320</v>
      </c>
      <c r="B66" s="26"/>
      <c r="C66" s="26"/>
      <c r="D66" s="26"/>
      <c r="E66" s="26"/>
      <c r="F66" s="26"/>
      <c r="G66" s="26"/>
      <c r="H66" s="29"/>
    </row>
    <row r="67" ht="15.75" customHeight="1">
      <c r="A67" s="115"/>
      <c r="B67" s="89"/>
      <c r="C67" s="89"/>
      <c r="D67" s="89"/>
      <c r="E67" s="89"/>
      <c r="F67" s="89"/>
      <c r="G67" s="89"/>
      <c r="H67" s="90"/>
    </row>
    <row r="68" ht="15.75" customHeight="1">
      <c r="A68" s="110"/>
      <c r="H68" s="111"/>
    </row>
    <row r="69" ht="15.75" customHeight="1">
      <c r="A69" s="91"/>
      <c r="B69" s="92"/>
      <c r="C69" s="92"/>
      <c r="D69" s="92"/>
      <c r="E69" s="92"/>
      <c r="F69" s="92"/>
      <c r="G69" s="92"/>
      <c r="H69" s="93"/>
    </row>
    <row r="70" ht="15.75" customHeight="1">
      <c r="A70" s="99" t="s">
        <v>325</v>
      </c>
      <c r="B70" s="26"/>
      <c r="C70" s="26"/>
      <c r="D70" s="26"/>
      <c r="E70" s="26"/>
      <c r="F70" s="26"/>
      <c r="G70" s="26"/>
      <c r="H70" s="29"/>
    </row>
    <row r="71" ht="15.75" customHeight="1">
      <c r="A71" s="115"/>
      <c r="B71" s="89"/>
      <c r="C71" s="89"/>
      <c r="D71" s="89"/>
      <c r="E71" s="89"/>
      <c r="F71" s="89"/>
      <c r="G71" s="89"/>
      <c r="H71" s="90"/>
    </row>
    <row r="72" ht="15.75" customHeight="1">
      <c r="A72" s="110"/>
      <c r="H72" s="111"/>
    </row>
    <row r="73" ht="15.75" customHeight="1">
      <c r="A73" s="110"/>
      <c r="H73" s="111"/>
    </row>
    <row r="74" ht="15.75" customHeight="1">
      <c r="A74" s="91"/>
      <c r="B74" s="92"/>
      <c r="C74" s="92"/>
      <c r="D74" s="92"/>
      <c r="E74" s="92"/>
      <c r="F74" s="92"/>
      <c r="G74" s="92"/>
      <c r="H74" s="93"/>
    </row>
    <row r="75" ht="15.75" customHeight="1"/>
    <row r="76" ht="15.75" customHeight="1"/>
    <row r="77" ht="15.75" customHeight="1">
      <c r="A77" s="97" t="s">
        <v>341</v>
      </c>
      <c r="E77" s="82" t="s">
        <v>226</v>
      </c>
      <c r="F77" s="107"/>
      <c r="G77" s="82" t="s">
        <v>317</v>
      </c>
      <c r="H77" s="107"/>
    </row>
    <row r="78" ht="15.75" customHeight="1">
      <c r="A78" s="109" t="s">
        <v>335</v>
      </c>
    </row>
    <row r="79" ht="15.75" customHeight="1">
      <c r="A79" s="102" t="s">
        <v>238</v>
      </c>
      <c r="B79" s="32"/>
      <c r="C79" s="26"/>
      <c r="D79" s="26"/>
      <c r="E79" s="26"/>
      <c r="F79" s="26"/>
      <c r="G79" s="26"/>
      <c r="H79" s="29"/>
    </row>
    <row r="80" ht="15.75" customHeight="1">
      <c r="A80" s="102" t="s">
        <v>238</v>
      </c>
      <c r="B80" s="32"/>
      <c r="C80" s="26"/>
      <c r="D80" s="26"/>
      <c r="E80" s="26"/>
      <c r="F80" s="26"/>
      <c r="G80" s="26"/>
      <c r="H80" s="29"/>
    </row>
    <row r="81" ht="15.75" customHeight="1">
      <c r="A81" s="102" t="s">
        <v>238</v>
      </c>
      <c r="B81" s="32"/>
      <c r="C81" s="26"/>
      <c r="D81" s="26"/>
      <c r="E81" s="26"/>
      <c r="F81" s="26"/>
      <c r="G81" s="26"/>
      <c r="H81" s="29"/>
    </row>
    <row r="82" ht="15.75" customHeight="1">
      <c r="A82" s="102" t="s">
        <v>318</v>
      </c>
      <c r="B82" s="32"/>
      <c r="C82" s="26"/>
      <c r="D82" s="26"/>
      <c r="E82" s="26"/>
      <c r="F82" s="26"/>
      <c r="G82" s="26"/>
      <c r="H82" s="29"/>
    </row>
    <row r="83" ht="15.75" customHeight="1">
      <c r="A83" s="99" t="s">
        <v>320</v>
      </c>
      <c r="B83" s="26"/>
      <c r="C83" s="26"/>
      <c r="D83" s="26"/>
      <c r="E83" s="26"/>
      <c r="F83" s="26"/>
      <c r="G83" s="26"/>
      <c r="H83" s="29"/>
    </row>
    <row r="84" ht="15.75" customHeight="1">
      <c r="A84" s="115"/>
      <c r="B84" s="89"/>
      <c r="C84" s="89"/>
      <c r="D84" s="89"/>
      <c r="E84" s="89"/>
      <c r="F84" s="89"/>
      <c r="G84" s="89"/>
      <c r="H84" s="90"/>
    </row>
    <row r="85" ht="15.75" customHeight="1">
      <c r="A85" s="110"/>
      <c r="H85" s="111"/>
    </row>
    <row r="86" ht="15.75" customHeight="1">
      <c r="A86" s="91"/>
      <c r="B86" s="92"/>
      <c r="C86" s="92"/>
      <c r="D86" s="92"/>
      <c r="E86" s="92"/>
      <c r="F86" s="92"/>
      <c r="G86" s="92"/>
      <c r="H86" s="93"/>
    </row>
    <row r="87" ht="15.75" customHeight="1">
      <c r="A87" s="99" t="s">
        <v>325</v>
      </c>
      <c r="B87" s="26"/>
      <c r="C87" s="26"/>
      <c r="D87" s="26"/>
      <c r="E87" s="26"/>
      <c r="F87" s="26"/>
      <c r="G87" s="26"/>
      <c r="H87" s="29"/>
    </row>
    <row r="88" ht="15.75" customHeight="1">
      <c r="A88" s="115"/>
      <c r="B88" s="89"/>
      <c r="C88" s="89"/>
      <c r="D88" s="89"/>
      <c r="E88" s="89"/>
      <c r="F88" s="89"/>
      <c r="G88" s="89"/>
      <c r="H88" s="90"/>
    </row>
    <row r="89" ht="15.75" customHeight="1">
      <c r="A89" s="110"/>
      <c r="H89" s="111"/>
    </row>
    <row r="90" ht="15.75" customHeight="1">
      <c r="A90" s="110"/>
      <c r="H90" s="111"/>
    </row>
    <row r="91" ht="15.75" customHeight="1">
      <c r="A91" s="91"/>
      <c r="B91" s="92"/>
      <c r="C91" s="92"/>
      <c r="D91" s="92"/>
      <c r="E91" s="92"/>
      <c r="F91" s="92"/>
      <c r="G91" s="92"/>
      <c r="H91" s="93"/>
    </row>
    <row r="92" ht="15.75" customHeight="1"/>
    <row r="93" ht="15.75" customHeight="1"/>
    <row r="94" ht="15.75" customHeight="1">
      <c r="A94" s="97" t="s">
        <v>342</v>
      </c>
      <c r="E94" s="82" t="s">
        <v>226</v>
      </c>
      <c r="F94" s="107"/>
      <c r="G94" s="82" t="s">
        <v>317</v>
      </c>
      <c r="H94" s="107"/>
    </row>
    <row r="95" ht="15.75" customHeight="1">
      <c r="A95" s="109" t="s">
        <v>335</v>
      </c>
    </row>
    <row r="96" ht="15.75" customHeight="1">
      <c r="A96" s="102" t="s">
        <v>238</v>
      </c>
      <c r="B96" s="32"/>
      <c r="C96" s="26"/>
      <c r="D96" s="26"/>
      <c r="E96" s="26"/>
      <c r="F96" s="26"/>
      <c r="G96" s="26"/>
      <c r="H96" s="29"/>
    </row>
    <row r="97" ht="15.75" customHeight="1">
      <c r="A97" s="102" t="s">
        <v>238</v>
      </c>
      <c r="B97" s="32"/>
      <c r="C97" s="26"/>
      <c r="D97" s="26"/>
      <c r="E97" s="26"/>
      <c r="F97" s="26"/>
      <c r="G97" s="26"/>
      <c r="H97" s="29"/>
    </row>
    <row r="98" ht="15.75" customHeight="1">
      <c r="A98" s="102" t="s">
        <v>238</v>
      </c>
      <c r="B98" s="32"/>
      <c r="C98" s="26"/>
      <c r="D98" s="26"/>
      <c r="E98" s="26"/>
      <c r="F98" s="26"/>
      <c r="G98" s="26"/>
      <c r="H98" s="29"/>
    </row>
    <row r="99" ht="15.75" customHeight="1">
      <c r="A99" s="102" t="s">
        <v>318</v>
      </c>
      <c r="B99" s="32"/>
      <c r="C99" s="26"/>
      <c r="D99" s="26"/>
      <c r="E99" s="26"/>
      <c r="F99" s="26"/>
      <c r="G99" s="26"/>
      <c r="H99" s="29"/>
    </row>
    <row r="100" ht="15.75" customHeight="1">
      <c r="A100" s="99" t="s">
        <v>320</v>
      </c>
      <c r="B100" s="26"/>
      <c r="C100" s="26"/>
      <c r="D100" s="26"/>
      <c r="E100" s="26"/>
      <c r="F100" s="26"/>
      <c r="G100" s="26"/>
      <c r="H100" s="29"/>
    </row>
    <row r="101" ht="15.75" customHeight="1">
      <c r="A101" s="115"/>
      <c r="B101" s="89"/>
      <c r="C101" s="89"/>
      <c r="D101" s="89"/>
      <c r="E101" s="89"/>
      <c r="F101" s="89"/>
      <c r="G101" s="89"/>
      <c r="H101" s="90"/>
    </row>
    <row r="102" ht="15.75" customHeight="1">
      <c r="A102" s="110"/>
      <c r="H102" s="111"/>
    </row>
    <row r="103" ht="15.75" customHeight="1">
      <c r="A103" s="91"/>
      <c r="B103" s="92"/>
      <c r="C103" s="92"/>
      <c r="D103" s="92"/>
      <c r="E103" s="92"/>
      <c r="F103" s="92"/>
      <c r="G103" s="92"/>
      <c r="H103" s="93"/>
    </row>
    <row r="104" ht="15.75" customHeight="1">
      <c r="A104" s="99" t="s">
        <v>325</v>
      </c>
      <c r="B104" s="26"/>
      <c r="C104" s="26"/>
      <c r="D104" s="26"/>
      <c r="E104" s="26"/>
      <c r="F104" s="26"/>
      <c r="G104" s="26"/>
      <c r="H104" s="29"/>
    </row>
    <row r="105" ht="15.75" customHeight="1">
      <c r="A105" s="115"/>
      <c r="B105" s="89"/>
      <c r="C105" s="89"/>
      <c r="D105" s="89"/>
      <c r="E105" s="89"/>
      <c r="F105" s="89"/>
      <c r="G105" s="89"/>
      <c r="H105" s="90"/>
    </row>
    <row r="106" ht="15.75" customHeight="1">
      <c r="A106" s="110"/>
      <c r="H106" s="111"/>
    </row>
    <row r="107" ht="15.75" customHeight="1">
      <c r="A107" s="110"/>
      <c r="H107" s="111"/>
    </row>
    <row r="108" ht="15.75" customHeight="1">
      <c r="A108" s="91"/>
      <c r="B108" s="92"/>
      <c r="C108" s="92"/>
      <c r="D108" s="92"/>
      <c r="E108" s="92"/>
      <c r="F108" s="92"/>
      <c r="G108" s="92"/>
      <c r="H108" s="93"/>
    </row>
    <row r="109" ht="15.75" customHeight="1"/>
    <row r="110" ht="15.75" customHeight="1"/>
    <row r="111" ht="15.75" customHeight="1">
      <c r="A111" s="97" t="s">
        <v>346</v>
      </c>
      <c r="E111" s="82" t="s">
        <v>226</v>
      </c>
      <c r="F111" s="107"/>
      <c r="G111" s="82" t="s">
        <v>317</v>
      </c>
      <c r="H111" s="107"/>
    </row>
    <row r="112" ht="15.75" customHeight="1">
      <c r="A112" s="109" t="s">
        <v>335</v>
      </c>
    </row>
    <row r="113" ht="15.75" customHeight="1">
      <c r="A113" s="102" t="s">
        <v>238</v>
      </c>
      <c r="B113" s="32"/>
      <c r="C113" s="26"/>
      <c r="D113" s="26"/>
      <c r="E113" s="26"/>
      <c r="F113" s="26"/>
      <c r="G113" s="26"/>
      <c r="H113" s="29"/>
    </row>
    <row r="114" ht="15.75" customHeight="1">
      <c r="A114" s="102" t="s">
        <v>238</v>
      </c>
      <c r="B114" s="32"/>
      <c r="C114" s="26"/>
      <c r="D114" s="26"/>
      <c r="E114" s="26"/>
      <c r="F114" s="26"/>
      <c r="G114" s="26"/>
      <c r="H114" s="29"/>
    </row>
    <row r="115" ht="15.75" customHeight="1">
      <c r="A115" s="102" t="s">
        <v>238</v>
      </c>
      <c r="B115" s="32"/>
      <c r="C115" s="26"/>
      <c r="D115" s="26"/>
      <c r="E115" s="26"/>
      <c r="F115" s="26"/>
      <c r="G115" s="26"/>
      <c r="H115" s="29"/>
    </row>
    <row r="116" ht="15.75" customHeight="1">
      <c r="A116" s="102" t="s">
        <v>318</v>
      </c>
      <c r="B116" s="32"/>
      <c r="C116" s="26"/>
      <c r="D116" s="26"/>
      <c r="E116" s="26"/>
      <c r="F116" s="26"/>
      <c r="G116" s="26"/>
      <c r="H116" s="29"/>
    </row>
    <row r="117" ht="15.75" customHeight="1">
      <c r="A117" s="99" t="s">
        <v>320</v>
      </c>
      <c r="B117" s="26"/>
      <c r="C117" s="26"/>
      <c r="D117" s="26"/>
      <c r="E117" s="26"/>
      <c r="F117" s="26"/>
      <c r="G117" s="26"/>
      <c r="H117" s="29"/>
    </row>
    <row r="118" ht="15.75" customHeight="1">
      <c r="A118" s="115"/>
      <c r="B118" s="89"/>
      <c r="C118" s="89"/>
      <c r="D118" s="89"/>
      <c r="E118" s="89"/>
      <c r="F118" s="89"/>
      <c r="G118" s="89"/>
      <c r="H118" s="90"/>
    </row>
    <row r="119" ht="15.75" customHeight="1">
      <c r="A119" s="110"/>
      <c r="H119" s="111"/>
    </row>
    <row r="120" ht="15.75" customHeight="1">
      <c r="A120" s="91"/>
      <c r="B120" s="92"/>
      <c r="C120" s="92"/>
      <c r="D120" s="92"/>
      <c r="E120" s="92"/>
      <c r="F120" s="92"/>
      <c r="G120" s="92"/>
      <c r="H120" s="93"/>
    </row>
    <row r="121" ht="15.75" customHeight="1">
      <c r="A121" s="99" t="s">
        <v>325</v>
      </c>
      <c r="B121" s="26"/>
      <c r="C121" s="26"/>
      <c r="D121" s="26"/>
      <c r="E121" s="26"/>
      <c r="F121" s="26"/>
      <c r="G121" s="26"/>
      <c r="H121" s="29"/>
    </row>
    <row r="122" ht="15.75" customHeight="1">
      <c r="A122" s="115"/>
      <c r="B122" s="89"/>
      <c r="C122" s="89"/>
      <c r="D122" s="89"/>
      <c r="E122" s="89"/>
      <c r="F122" s="89"/>
      <c r="G122" s="89"/>
      <c r="H122" s="90"/>
    </row>
    <row r="123" ht="15.75" customHeight="1">
      <c r="A123" s="110"/>
      <c r="H123" s="111"/>
    </row>
    <row r="124" ht="15.75" customHeight="1">
      <c r="A124" s="110"/>
      <c r="H124" s="111"/>
    </row>
    <row r="125" ht="15.75" customHeight="1">
      <c r="A125" s="91"/>
      <c r="B125" s="92"/>
      <c r="C125" s="92"/>
      <c r="D125" s="92"/>
      <c r="E125" s="92"/>
      <c r="F125" s="92"/>
      <c r="G125" s="92"/>
      <c r="H125" s="9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45:B47 B62:B64 B79:B81 B96:B98 B113:B115">
      <formula1>Metadata!$I$17:$I$40</formula1>
    </dataValidation>
    <dataValidation type="list" allowBlank="1" showErrorMessage="1" sqref="B11:B13 B28:B30">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0" t="s">
        <v>52</v>
      </c>
    </row>
    <row r="3" ht="15.75" customHeight="1"/>
    <row r="4" ht="15.75" customHeight="1">
      <c r="B4" s="23" t="s">
        <v>3</v>
      </c>
      <c r="C4" s="32" t="str">
        <f>'Diseño'!C4</f>
        <v>0089 - Comunicación Asertiva</v>
      </c>
      <c r="D4" s="26"/>
      <c r="E4" s="26"/>
      <c r="F4" s="26"/>
      <c r="G4" s="29"/>
    </row>
    <row r="5" ht="15.75" customHeight="1">
      <c r="B5" s="95" t="s">
        <v>38</v>
      </c>
      <c r="C5" s="32">
        <f>H9+H26+H43+H60+H77+H94+H111+H128</f>
        <v>12</v>
      </c>
      <c r="D5" s="26"/>
      <c r="E5" s="26"/>
      <c r="F5" s="26"/>
      <c r="G5" s="29"/>
    </row>
    <row r="6" ht="15.75" customHeight="1">
      <c r="B6" s="95" t="s">
        <v>226</v>
      </c>
      <c r="C6" s="32">
        <f>F9+F26+F43+F60+F77+F94+F111+F128</f>
        <v>12</v>
      </c>
      <c r="D6" s="26"/>
      <c r="E6" s="26"/>
      <c r="F6" s="26"/>
      <c r="G6" s="29"/>
    </row>
    <row r="7" ht="15.75" customHeight="1">
      <c r="B7" s="11" t="s">
        <v>353</v>
      </c>
    </row>
    <row r="8" ht="15.75" customHeight="1"/>
    <row r="9" ht="15.75" customHeight="1">
      <c r="A9" s="97" t="s">
        <v>356</v>
      </c>
      <c r="E9" s="82" t="s">
        <v>226</v>
      </c>
      <c r="F9" s="98">
        <v>2.0</v>
      </c>
      <c r="G9" s="82" t="s">
        <v>317</v>
      </c>
      <c r="H9" s="98">
        <v>2.0</v>
      </c>
    </row>
    <row r="10" ht="15.75" customHeight="1">
      <c r="A10" s="11" t="s">
        <v>361</v>
      </c>
    </row>
    <row r="11" ht="15.75" customHeight="1">
      <c r="A11" s="102" t="s">
        <v>238</v>
      </c>
      <c r="B11" s="32"/>
      <c r="C11" s="26"/>
      <c r="D11" s="26"/>
      <c r="E11" s="26"/>
      <c r="F11" s="26"/>
      <c r="G11" s="26"/>
      <c r="H11" s="29"/>
    </row>
    <row r="12" ht="15.75" customHeight="1">
      <c r="A12" s="102" t="s">
        <v>238</v>
      </c>
      <c r="B12" s="32"/>
      <c r="C12" s="26"/>
      <c r="D12" s="26"/>
      <c r="E12" s="26"/>
      <c r="F12" s="26"/>
      <c r="G12" s="26"/>
      <c r="H12" s="29"/>
    </row>
    <row r="13" ht="15.75" customHeight="1">
      <c r="A13" s="102" t="s">
        <v>238</v>
      </c>
      <c r="B13" s="32"/>
      <c r="C13" s="26"/>
      <c r="D13" s="26"/>
      <c r="E13" s="26"/>
      <c r="F13" s="26"/>
      <c r="G13" s="26"/>
      <c r="H13" s="29"/>
    </row>
    <row r="14" ht="15.75" customHeight="1">
      <c r="A14" s="102" t="s">
        <v>318</v>
      </c>
      <c r="B14" s="83" t="s">
        <v>381</v>
      </c>
      <c r="C14" s="26"/>
      <c r="D14" s="26"/>
      <c r="E14" s="26"/>
      <c r="F14" s="26"/>
      <c r="G14" s="26"/>
      <c r="H14" s="29"/>
    </row>
    <row r="15" ht="15.75" customHeight="1">
      <c r="A15" s="99" t="s">
        <v>320</v>
      </c>
      <c r="B15" s="26"/>
      <c r="C15" s="26"/>
      <c r="D15" s="26"/>
      <c r="E15" s="26"/>
      <c r="F15" s="26"/>
      <c r="G15" s="26"/>
      <c r="H15" s="29"/>
    </row>
    <row r="16" ht="15.75" customHeight="1">
      <c r="A16" s="100" t="s">
        <v>392</v>
      </c>
      <c r="B16" s="89"/>
      <c r="C16" s="89"/>
      <c r="D16" s="89"/>
      <c r="E16" s="89"/>
      <c r="F16" s="89"/>
      <c r="G16" s="89"/>
      <c r="H16" s="90"/>
    </row>
    <row r="17" ht="21.75" customHeight="1">
      <c r="A17" s="110"/>
      <c r="H17" s="111"/>
    </row>
    <row r="18" ht="1.5" customHeight="1">
      <c r="A18" s="91"/>
      <c r="B18" s="92"/>
      <c r="C18" s="92"/>
      <c r="D18" s="92"/>
      <c r="E18" s="92"/>
      <c r="F18" s="92"/>
      <c r="G18" s="92"/>
      <c r="H18" s="93"/>
    </row>
    <row r="19" ht="15.75" customHeight="1">
      <c r="A19" s="99" t="s">
        <v>406</v>
      </c>
      <c r="B19" s="26"/>
      <c r="C19" s="26"/>
      <c r="D19" s="26"/>
      <c r="E19" s="26"/>
      <c r="F19" s="26"/>
      <c r="G19" s="26"/>
      <c r="H19" s="29"/>
    </row>
    <row r="20" ht="15.75" customHeight="1">
      <c r="A20" s="121" t="s">
        <v>417</v>
      </c>
      <c r="B20" s="89"/>
      <c r="C20" s="89"/>
      <c r="D20" s="89"/>
      <c r="E20" s="89"/>
      <c r="F20" s="89"/>
      <c r="G20" s="89"/>
      <c r="H20" s="90"/>
    </row>
    <row r="21" ht="15.75" customHeight="1">
      <c r="A21" s="110"/>
      <c r="H21" s="111"/>
    </row>
    <row r="22" ht="15.75" customHeight="1">
      <c r="A22" s="110"/>
      <c r="H22" s="111"/>
    </row>
    <row r="23" ht="26.25" customHeight="1">
      <c r="A23" s="91"/>
      <c r="B23" s="92"/>
      <c r="C23" s="92"/>
      <c r="D23" s="92"/>
      <c r="E23" s="92"/>
      <c r="F23" s="92"/>
      <c r="G23" s="92"/>
      <c r="H23" s="93"/>
    </row>
    <row r="24" ht="15.75" customHeight="1">
      <c r="A24" s="97"/>
      <c r="B24" s="97"/>
      <c r="C24" s="97"/>
      <c r="D24" s="97"/>
      <c r="E24" s="82"/>
      <c r="F24" s="122"/>
      <c r="G24" s="82"/>
      <c r="H24" s="122"/>
    </row>
    <row r="25" ht="15.75" customHeight="1">
      <c r="A25" s="97"/>
      <c r="B25" s="97"/>
      <c r="C25" s="97"/>
      <c r="D25" s="97"/>
      <c r="E25" s="82"/>
      <c r="F25" s="122"/>
      <c r="G25" s="82"/>
      <c r="H25" s="122"/>
    </row>
    <row r="26" ht="15.75" customHeight="1">
      <c r="A26" s="97" t="s">
        <v>448</v>
      </c>
      <c r="E26" s="82" t="s">
        <v>226</v>
      </c>
      <c r="F26" s="98">
        <v>2.0</v>
      </c>
      <c r="G26" s="82" t="s">
        <v>317</v>
      </c>
      <c r="H26" s="98">
        <v>2.0</v>
      </c>
    </row>
    <row r="27" ht="15.75" customHeight="1">
      <c r="A27" s="11" t="s">
        <v>324</v>
      </c>
    </row>
    <row r="28" ht="15.75" customHeight="1">
      <c r="A28" s="102" t="s">
        <v>238</v>
      </c>
      <c r="B28" s="32"/>
      <c r="C28" s="26"/>
      <c r="D28" s="26"/>
      <c r="E28" s="26"/>
      <c r="F28" s="26"/>
      <c r="G28" s="26"/>
      <c r="H28" s="29"/>
    </row>
    <row r="29" ht="15.75" customHeight="1">
      <c r="A29" s="102" t="s">
        <v>238</v>
      </c>
      <c r="B29" s="32"/>
      <c r="C29" s="26"/>
      <c r="D29" s="26"/>
      <c r="E29" s="26"/>
      <c r="F29" s="26"/>
      <c r="G29" s="26"/>
      <c r="H29" s="29"/>
    </row>
    <row r="30" ht="15.75" customHeight="1">
      <c r="A30" s="102" t="s">
        <v>238</v>
      </c>
      <c r="B30" s="32"/>
      <c r="C30" s="26"/>
      <c r="D30" s="26"/>
      <c r="E30" s="26"/>
      <c r="F30" s="26"/>
      <c r="G30" s="26"/>
      <c r="H30" s="29"/>
    </row>
    <row r="31" ht="15.75" customHeight="1">
      <c r="A31" s="102" t="s">
        <v>318</v>
      </c>
      <c r="B31" s="83" t="s">
        <v>449</v>
      </c>
      <c r="C31" s="26"/>
      <c r="D31" s="26"/>
      <c r="E31" s="26"/>
      <c r="F31" s="26"/>
      <c r="G31" s="26"/>
      <c r="H31" s="29"/>
    </row>
    <row r="32" ht="15.75" customHeight="1">
      <c r="A32" s="99" t="s">
        <v>320</v>
      </c>
      <c r="B32" s="26"/>
      <c r="C32" s="26"/>
      <c r="D32" s="26"/>
      <c r="E32" s="26"/>
      <c r="F32" s="26"/>
      <c r="G32" s="26"/>
      <c r="H32" s="29"/>
    </row>
    <row r="33" ht="15.75" customHeight="1">
      <c r="A33" s="100" t="s">
        <v>450</v>
      </c>
      <c r="B33" s="89"/>
      <c r="C33" s="89"/>
      <c r="D33" s="89"/>
      <c r="E33" s="89"/>
      <c r="F33" s="89"/>
      <c r="G33" s="89"/>
      <c r="H33" s="90"/>
    </row>
    <row r="34" ht="15.75" customHeight="1">
      <c r="A34" s="110"/>
      <c r="H34" s="111"/>
    </row>
    <row r="35" ht="15.75" customHeight="1">
      <c r="A35" s="91"/>
      <c r="B35" s="92"/>
      <c r="C35" s="92"/>
      <c r="D35" s="92"/>
      <c r="E35" s="92"/>
      <c r="F35" s="92"/>
      <c r="G35" s="92"/>
      <c r="H35" s="93"/>
    </row>
    <row r="36" ht="15.75" customHeight="1">
      <c r="A36" s="99" t="s">
        <v>325</v>
      </c>
      <c r="B36" s="26"/>
      <c r="C36" s="26"/>
      <c r="D36" s="26"/>
      <c r="E36" s="26"/>
      <c r="F36" s="26"/>
      <c r="G36" s="26"/>
      <c r="H36" s="29"/>
    </row>
    <row r="37" ht="15.75" customHeight="1">
      <c r="A37" s="118" t="s">
        <v>451</v>
      </c>
      <c r="B37" s="89"/>
      <c r="C37" s="89"/>
      <c r="D37" s="89"/>
      <c r="E37" s="89"/>
      <c r="F37" s="89"/>
      <c r="G37" s="89"/>
      <c r="H37" s="90"/>
    </row>
    <row r="38" ht="15.75" customHeight="1">
      <c r="A38" s="110"/>
      <c r="H38" s="111"/>
    </row>
    <row r="39" ht="15.75" customHeight="1">
      <c r="A39" s="110"/>
      <c r="H39" s="111"/>
    </row>
    <row r="40" ht="107.25" customHeight="1">
      <c r="A40" s="91"/>
      <c r="B40" s="92"/>
      <c r="C40" s="92"/>
      <c r="D40" s="92"/>
      <c r="E40" s="92"/>
      <c r="F40" s="92"/>
      <c r="G40" s="92"/>
      <c r="H40" s="93"/>
    </row>
    <row r="41" ht="15.75" customHeight="1"/>
    <row r="42" ht="15.75" customHeight="1"/>
    <row r="43" ht="15.75" customHeight="1">
      <c r="A43" s="97" t="s">
        <v>452</v>
      </c>
      <c r="E43" s="82" t="s">
        <v>226</v>
      </c>
      <c r="F43" s="98">
        <v>2.0</v>
      </c>
      <c r="G43" s="82" t="s">
        <v>317</v>
      </c>
      <c r="H43" s="98">
        <v>2.0</v>
      </c>
    </row>
    <row r="44" ht="15.75" customHeight="1">
      <c r="A44" s="11" t="s">
        <v>324</v>
      </c>
    </row>
    <row r="45" ht="15.75" customHeight="1">
      <c r="A45" s="102" t="s">
        <v>238</v>
      </c>
      <c r="B45" s="32"/>
      <c r="C45" s="26"/>
      <c r="D45" s="26"/>
      <c r="E45" s="26"/>
      <c r="F45" s="26"/>
      <c r="G45" s="26"/>
      <c r="H45" s="29"/>
    </row>
    <row r="46" ht="15.75" customHeight="1">
      <c r="A46" s="102" t="s">
        <v>238</v>
      </c>
      <c r="B46" s="32"/>
      <c r="C46" s="26"/>
      <c r="D46" s="26"/>
      <c r="E46" s="26"/>
      <c r="F46" s="26"/>
      <c r="G46" s="26"/>
      <c r="H46" s="29"/>
    </row>
    <row r="47" ht="15.75" customHeight="1">
      <c r="A47" s="102" t="s">
        <v>238</v>
      </c>
      <c r="B47" s="32"/>
      <c r="C47" s="26"/>
      <c r="D47" s="26"/>
      <c r="E47" s="26"/>
      <c r="F47" s="26"/>
      <c r="G47" s="26"/>
      <c r="H47" s="29"/>
    </row>
    <row r="48" ht="15.75" customHeight="1">
      <c r="A48" s="102" t="s">
        <v>318</v>
      </c>
      <c r="B48" s="32"/>
      <c r="C48" s="26"/>
      <c r="D48" s="26"/>
      <c r="E48" s="26"/>
      <c r="F48" s="26"/>
      <c r="G48" s="26"/>
      <c r="H48" s="29"/>
    </row>
    <row r="49" ht="15.75" customHeight="1">
      <c r="A49" s="99" t="s">
        <v>320</v>
      </c>
      <c r="B49" s="26"/>
      <c r="C49" s="26"/>
      <c r="D49" s="26"/>
      <c r="E49" s="26"/>
      <c r="F49" s="26"/>
      <c r="G49" s="26"/>
      <c r="H49" s="29"/>
    </row>
    <row r="50" ht="15.75" customHeight="1">
      <c r="A50" s="115"/>
      <c r="B50" s="89"/>
      <c r="C50" s="89"/>
      <c r="D50" s="89"/>
      <c r="E50" s="89"/>
      <c r="F50" s="89"/>
      <c r="G50" s="89"/>
      <c r="H50" s="90"/>
    </row>
    <row r="51" ht="15.75" customHeight="1">
      <c r="A51" s="110"/>
      <c r="H51" s="111"/>
    </row>
    <row r="52" ht="15.75" customHeight="1">
      <c r="A52" s="91"/>
      <c r="B52" s="92"/>
      <c r="C52" s="92"/>
      <c r="D52" s="92"/>
      <c r="E52" s="92"/>
      <c r="F52" s="92"/>
      <c r="G52" s="92"/>
      <c r="H52" s="93"/>
    </row>
    <row r="53" ht="15.75" customHeight="1">
      <c r="A53" s="99" t="s">
        <v>325</v>
      </c>
      <c r="B53" s="26"/>
      <c r="C53" s="26"/>
      <c r="D53" s="26"/>
      <c r="E53" s="26"/>
      <c r="F53" s="26"/>
      <c r="G53" s="26"/>
      <c r="H53" s="29"/>
    </row>
    <row r="54" ht="15.75" customHeight="1">
      <c r="A54" s="115"/>
      <c r="B54" s="89"/>
      <c r="C54" s="89"/>
      <c r="D54" s="89"/>
      <c r="E54" s="89"/>
      <c r="F54" s="89"/>
      <c r="G54" s="89"/>
      <c r="H54" s="90"/>
    </row>
    <row r="55" ht="15.75" customHeight="1">
      <c r="A55" s="110"/>
      <c r="H55" s="111"/>
    </row>
    <row r="56" ht="15.75" customHeight="1">
      <c r="A56" s="110"/>
      <c r="H56" s="111"/>
    </row>
    <row r="57" ht="15.75" customHeight="1">
      <c r="A57" s="91"/>
      <c r="B57" s="92"/>
      <c r="C57" s="92"/>
      <c r="D57" s="92"/>
      <c r="E57" s="92"/>
      <c r="F57" s="92"/>
      <c r="G57" s="92"/>
      <c r="H57" s="93"/>
    </row>
    <row r="58" ht="15.75" customHeight="1"/>
    <row r="59" ht="15.75" customHeight="1"/>
    <row r="60" ht="15.75" customHeight="1">
      <c r="A60" s="97" t="s">
        <v>453</v>
      </c>
      <c r="E60" s="82" t="s">
        <v>226</v>
      </c>
      <c r="F60" s="98">
        <v>2.0</v>
      </c>
      <c r="G60" s="82" t="s">
        <v>317</v>
      </c>
      <c r="H60" s="98">
        <v>2.0</v>
      </c>
    </row>
    <row r="61" ht="15.75" customHeight="1">
      <c r="A61" s="109" t="s">
        <v>335</v>
      </c>
    </row>
    <row r="62" ht="15.75" customHeight="1">
      <c r="A62" s="102" t="s">
        <v>238</v>
      </c>
      <c r="B62" s="83" t="s">
        <v>24</v>
      </c>
      <c r="C62" s="26"/>
      <c r="D62" s="26"/>
      <c r="E62" s="26"/>
      <c r="F62" s="26"/>
      <c r="G62" s="26"/>
      <c r="H62" s="29"/>
    </row>
    <row r="63" ht="15.75" customHeight="1">
      <c r="A63" s="102" t="s">
        <v>238</v>
      </c>
      <c r="B63" s="83" t="s">
        <v>74</v>
      </c>
      <c r="C63" s="26"/>
      <c r="D63" s="26"/>
      <c r="E63" s="26"/>
      <c r="F63" s="26"/>
      <c r="G63" s="26"/>
      <c r="H63" s="29"/>
    </row>
    <row r="64" ht="15.75" customHeight="1">
      <c r="A64" s="102" t="s">
        <v>238</v>
      </c>
      <c r="B64" s="83" t="s">
        <v>97</v>
      </c>
      <c r="C64" s="26"/>
      <c r="D64" s="26"/>
      <c r="E64" s="26"/>
      <c r="F64" s="26"/>
      <c r="G64" s="26"/>
      <c r="H64" s="29"/>
    </row>
    <row r="65" ht="15.75" customHeight="1">
      <c r="A65" s="102" t="s">
        <v>318</v>
      </c>
      <c r="B65" s="83" t="s">
        <v>454</v>
      </c>
      <c r="C65" s="26"/>
      <c r="D65" s="26"/>
      <c r="E65" s="26"/>
      <c r="F65" s="26"/>
      <c r="G65" s="26"/>
      <c r="H65" s="29"/>
    </row>
    <row r="66" ht="15.75" customHeight="1">
      <c r="A66" s="99" t="s">
        <v>320</v>
      </c>
      <c r="B66" s="26"/>
      <c r="C66" s="26"/>
      <c r="D66" s="26"/>
      <c r="E66" s="26"/>
      <c r="F66" s="26"/>
      <c r="G66" s="26"/>
      <c r="H66" s="29"/>
    </row>
    <row r="67" ht="15.75" customHeight="1">
      <c r="A67" s="100" t="s">
        <v>455</v>
      </c>
      <c r="B67" s="89"/>
      <c r="C67" s="89"/>
      <c r="D67" s="89"/>
      <c r="E67" s="89"/>
      <c r="F67" s="89"/>
      <c r="G67" s="89"/>
      <c r="H67" s="90"/>
    </row>
    <row r="68" ht="15.75" customHeight="1">
      <c r="A68" s="110"/>
      <c r="H68" s="111"/>
    </row>
    <row r="69" ht="15.75" customHeight="1">
      <c r="A69" s="91"/>
      <c r="B69" s="92"/>
      <c r="C69" s="92"/>
      <c r="D69" s="92"/>
      <c r="E69" s="92"/>
      <c r="F69" s="92"/>
      <c r="G69" s="92"/>
      <c r="H69" s="93"/>
    </row>
    <row r="70" ht="15.75" customHeight="1">
      <c r="A70" s="99" t="s">
        <v>325</v>
      </c>
      <c r="B70" s="26"/>
      <c r="C70" s="26"/>
      <c r="D70" s="26"/>
      <c r="E70" s="26"/>
      <c r="F70" s="26"/>
      <c r="G70" s="26"/>
      <c r="H70" s="29"/>
    </row>
    <row r="71" ht="15.75" customHeight="1">
      <c r="A71" s="118" t="s">
        <v>456</v>
      </c>
      <c r="B71" s="89"/>
      <c r="C71" s="89"/>
      <c r="D71" s="89"/>
      <c r="E71" s="89"/>
      <c r="F71" s="89"/>
      <c r="G71" s="89"/>
      <c r="H71" s="90"/>
    </row>
    <row r="72" ht="15.75" customHeight="1">
      <c r="A72" s="110"/>
      <c r="H72" s="111"/>
    </row>
    <row r="73" ht="15.75" customHeight="1">
      <c r="A73" s="110"/>
      <c r="H73" s="111"/>
    </row>
    <row r="74" ht="15.75" customHeight="1">
      <c r="A74" s="91"/>
      <c r="B74" s="92"/>
      <c r="C74" s="92"/>
      <c r="D74" s="92"/>
      <c r="E74" s="92"/>
      <c r="F74" s="92"/>
      <c r="G74" s="92"/>
      <c r="H74" s="93"/>
    </row>
    <row r="75" ht="15.75" customHeight="1"/>
    <row r="76" ht="15.75" customHeight="1"/>
    <row r="77" ht="15.75" customHeight="1">
      <c r="A77" s="97" t="s">
        <v>457</v>
      </c>
      <c r="E77" s="82" t="s">
        <v>226</v>
      </c>
      <c r="F77" s="98">
        <v>2.0</v>
      </c>
      <c r="G77" s="82" t="s">
        <v>317</v>
      </c>
      <c r="H77" s="98">
        <v>2.0</v>
      </c>
    </row>
    <row r="78" ht="15.75" customHeight="1">
      <c r="A78" s="109" t="s">
        <v>335</v>
      </c>
    </row>
    <row r="79" ht="15.75" customHeight="1">
      <c r="A79" s="102" t="s">
        <v>238</v>
      </c>
      <c r="B79" s="83" t="s">
        <v>74</v>
      </c>
      <c r="C79" s="26"/>
      <c r="D79" s="26"/>
      <c r="E79" s="26"/>
      <c r="F79" s="26"/>
      <c r="G79" s="26"/>
      <c r="H79" s="29"/>
    </row>
    <row r="80" ht="15.75" customHeight="1">
      <c r="A80" s="102" t="s">
        <v>238</v>
      </c>
      <c r="B80" s="83" t="s">
        <v>56</v>
      </c>
      <c r="C80" s="26"/>
      <c r="D80" s="26"/>
      <c r="E80" s="26"/>
      <c r="F80" s="26"/>
      <c r="G80" s="26"/>
      <c r="H80" s="29"/>
    </row>
    <row r="81" ht="15.75" customHeight="1">
      <c r="A81" s="102" t="s">
        <v>238</v>
      </c>
      <c r="B81" s="83" t="s">
        <v>24</v>
      </c>
      <c r="C81" s="26"/>
      <c r="D81" s="26"/>
      <c r="E81" s="26"/>
      <c r="F81" s="26"/>
      <c r="G81" s="26"/>
      <c r="H81" s="29"/>
    </row>
    <row r="82" ht="15.75" customHeight="1">
      <c r="A82" s="102" t="s">
        <v>318</v>
      </c>
      <c r="B82" s="83" t="s">
        <v>458</v>
      </c>
      <c r="C82" s="26"/>
      <c r="D82" s="26"/>
      <c r="E82" s="26"/>
      <c r="F82" s="26"/>
      <c r="G82" s="26"/>
      <c r="H82" s="29"/>
    </row>
    <row r="83" ht="15.75" customHeight="1">
      <c r="A83" s="99" t="s">
        <v>320</v>
      </c>
      <c r="B83" s="26"/>
      <c r="C83" s="26"/>
      <c r="D83" s="26"/>
      <c r="E83" s="26"/>
      <c r="F83" s="26"/>
      <c r="G83" s="26"/>
      <c r="H83" s="29"/>
    </row>
    <row r="84" ht="15.75" customHeight="1">
      <c r="A84" s="100" t="s">
        <v>459</v>
      </c>
      <c r="B84" s="89"/>
      <c r="C84" s="89"/>
      <c r="D84" s="89"/>
      <c r="E84" s="89"/>
      <c r="F84" s="89"/>
      <c r="G84" s="89"/>
      <c r="H84" s="90"/>
    </row>
    <row r="85" ht="15.75" customHeight="1">
      <c r="A85" s="110"/>
      <c r="H85" s="111"/>
    </row>
    <row r="86" ht="15.75" customHeight="1">
      <c r="A86" s="91"/>
      <c r="B86" s="92"/>
      <c r="C86" s="92"/>
      <c r="D86" s="92"/>
      <c r="E86" s="92"/>
      <c r="F86" s="92"/>
      <c r="G86" s="92"/>
      <c r="H86" s="93"/>
    </row>
    <row r="87" ht="15.75" customHeight="1">
      <c r="A87" s="99" t="s">
        <v>325</v>
      </c>
      <c r="B87" s="26"/>
      <c r="C87" s="26"/>
      <c r="D87" s="26"/>
      <c r="E87" s="26"/>
      <c r="F87" s="26"/>
      <c r="G87" s="26"/>
      <c r="H87" s="29"/>
    </row>
    <row r="88" ht="15.75" customHeight="1">
      <c r="A88" s="118" t="s">
        <v>460</v>
      </c>
      <c r="B88" s="89"/>
      <c r="C88" s="89"/>
      <c r="D88" s="89"/>
      <c r="E88" s="89"/>
      <c r="F88" s="89"/>
      <c r="G88" s="89"/>
      <c r="H88" s="90"/>
    </row>
    <row r="89" ht="15.75" customHeight="1">
      <c r="A89" s="110"/>
      <c r="H89" s="111"/>
    </row>
    <row r="90" ht="15.75" customHeight="1">
      <c r="A90" s="110"/>
      <c r="H90" s="111"/>
    </row>
    <row r="91" ht="15.75" customHeight="1">
      <c r="A91" s="91"/>
      <c r="B91" s="92"/>
      <c r="C91" s="92"/>
      <c r="D91" s="92"/>
      <c r="E91" s="92"/>
      <c r="F91" s="92"/>
      <c r="G91" s="92"/>
      <c r="H91" s="93"/>
    </row>
    <row r="92" ht="15.75" customHeight="1"/>
    <row r="93" ht="15.75" customHeight="1"/>
    <row r="94" ht="15.75" customHeight="1">
      <c r="A94" s="97" t="s">
        <v>461</v>
      </c>
      <c r="E94" s="82" t="s">
        <v>226</v>
      </c>
      <c r="F94" s="98">
        <v>2.0</v>
      </c>
      <c r="G94" s="82" t="s">
        <v>317</v>
      </c>
      <c r="H94" s="98">
        <v>2.0</v>
      </c>
    </row>
    <row r="95" ht="15.75" customHeight="1">
      <c r="A95" s="109" t="s">
        <v>335</v>
      </c>
    </row>
    <row r="96" ht="15.75" customHeight="1">
      <c r="A96" s="102" t="s">
        <v>238</v>
      </c>
      <c r="B96" s="83" t="s">
        <v>97</v>
      </c>
      <c r="C96" s="26"/>
      <c r="D96" s="26"/>
      <c r="E96" s="26"/>
      <c r="F96" s="26"/>
      <c r="G96" s="26"/>
      <c r="H96" s="29"/>
    </row>
    <row r="97" ht="15.75" customHeight="1">
      <c r="A97" s="102" t="s">
        <v>238</v>
      </c>
      <c r="B97" s="83" t="s">
        <v>149</v>
      </c>
      <c r="C97" s="26"/>
      <c r="D97" s="26"/>
      <c r="E97" s="26"/>
      <c r="F97" s="26"/>
      <c r="G97" s="26"/>
      <c r="H97" s="29"/>
    </row>
    <row r="98" ht="15.75" customHeight="1">
      <c r="A98" s="102" t="s">
        <v>238</v>
      </c>
      <c r="B98" s="83" t="s">
        <v>24</v>
      </c>
      <c r="C98" s="26"/>
      <c r="D98" s="26"/>
      <c r="E98" s="26"/>
      <c r="F98" s="26"/>
      <c r="G98" s="26"/>
      <c r="H98" s="29"/>
    </row>
    <row r="99" ht="15.75" customHeight="1">
      <c r="A99" s="102" t="s">
        <v>318</v>
      </c>
      <c r="B99" s="83" t="s">
        <v>462</v>
      </c>
      <c r="C99" s="26"/>
      <c r="D99" s="26"/>
      <c r="E99" s="26"/>
      <c r="F99" s="26"/>
      <c r="G99" s="26"/>
      <c r="H99" s="29"/>
    </row>
    <row r="100" ht="15.75" customHeight="1">
      <c r="A100" s="99" t="s">
        <v>320</v>
      </c>
      <c r="B100" s="26"/>
      <c r="C100" s="26"/>
      <c r="D100" s="26"/>
      <c r="E100" s="26"/>
      <c r="F100" s="26"/>
      <c r="G100" s="26"/>
      <c r="H100" s="29"/>
    </row>
    <row r="101" ht="15.75" customHeight="1">
      <c r="A101" s="100" t="s">
        <v>463</v>
      </c>
      <c r="B101" s="89"/>
      <c r="C101" s="89"/>
      <c r="D101" s="89"/>
      <c r="E101" s="89"/>
      <c r="F101" s="89"/>
      <c r="G101" s="89"/>
      <c r="H101" s="90"/>
    </row>
    <row r="102" ht="15.75" customHeight="1">
      <c r="A102" s="110"/>
      <c r="H102" s="111"/>
    </row>
    <row r="103" ht="15.75" customHeight="1">
      <c r="A103" s="91"/>
      <c r="B103" s="92"/>
      <c r="C103" s="92"/>
      <c r="D103" s="92"/>
      <c r="E103" s="92"/>
      <c r="F103" s="92"/>
      <c r="G103" s="92"/>
      <c r="H103" s="93"/>
    </row>
    <row r="104" ht="15.75" customHeight="1">
      <c r="A104" s="99" t="s">
        <v>325</v>
      </c>
      <c r="B104" s="26"/>
      <c r="C104" s="26"/>
      <c r="D104" s="26"/>
      <c r="E104" s="26"/>
      <c r="F104" s="26"/>
      <c r="G104" s="26"/>
      <c r="H104" s="29"/>
    </row>
    <row r="105" ht="15.75" customHeight="1">
      <c r="A105" s="118" t="s">
        <v>464</v>
      </c>
      <c r="B105" s="89"/>
      <c r="C105" s="89"/>
      <c r="D105" s="89"/>
      <c r="E105" s="89"/>
      <c r="F105" s="89"/>
      <c r="G105" s="89"/>
      <c r="H105" s="90"/>
    </row>
    <row r="106" ht="15.75" customHeight="1">
      <c r="A106" s="110"/>
      <c r="H106" s="111"/>
    </row>
    <row r="107" ht="15.75" customHeight="1">
      <c r="A107" s="110"/>
      <c r="H107" s="111"/>
    </row>
    <row r="108" ht="15.75" customHeight="1">
      <c r="A108" s="91"/>
      <c r="B108" s="92"/>
      <c r="C108" s="92"/>
      <c r="D108" s="92"/>
      <c r="E108" s="92"/>
      <c r="F108" s="92"/>
      <c r="G108" s="92"/>
      <c r="H108" s="93"/>
    </row>
    <row r="109" ht="15.75" customHeight="1"/>
    <row r="110" ht="15.75" customHeight="1"/>
    <row r="111" ht="15.75" customHeight="1">
      <c r="A111" s="97" t="s">
        <v>465</v>
      </c>
      <c r="E111" s="82" t="s">
        <v>226</v>
      </c>
      <c r="F111" s="107"/>
      <c r="G111" s="82" t="s">
        <v>317</v>
      </c>
      <c r="H111" s="107"/>
    </row>
    <row r="112" ht="15.75" customHeight="1">
      <c r="A112" s="109" t="s">
        <v>335</v>
      </c>
    </row>
    <row r="113" ht="15.75" customHeight="1">
      <c r="A113" s="102" t="s">
        <v>238</v>
      </c>
      <c r="B113" s="32"/>
      <c r="C113" s="26"/>
      <c r="D113" s="26"/>
      <c r="E113" s="26"/>
      <c r="F113" s="26"/>
      <c r="G113" s="26"/>
      <c r="H113" s="29"/>
    </row>
    <row r="114" ht="15.75" customHeight="1">
      <c r="A114" s="102" t="s">
        <v>238</v>
      </c>
      <c r="B114" s="32"/>
      <c r="C114" s="26"/>
      <c r="D114" s="26"/>
      <c r="E114" s="26"/>
      <c r="F114" s="26"/>
      <c r="G114" s="26"/>
      <c r="H114" s="29"/>
    </row>
    <row r="115" ht="15.75" customHeight="1">
      <c r="A115" s="102" t="s">
        <v>238</v>
      </c>
      <c r="B115" s="32"/>
      <c r="C115" s="26"/>
      <c r="D115" s="26"/>
      <c r="E115" s="26"/>
      <c r="F115" s="26"/>
      <c r="G115" s="26"/>
      <c r="H115" s="29"/>
    </row>
    <row r="116" ht="15.75" customHeight="1">
      <c r="A116" s="102" t="s">
        <v>318</v>
      </c>
      <c r="B116" s="32"/>
      <c r="C116" s="26"/>
      <c r="D116" s="26"/>
      <c r="E116" s="26"/>
      <c r="F116" s="26"/>
      <c r="G116" s="26"/>
      <c r="H116" s="29"/>
    </row>
    <row r="117" ht="15.75" customHeight="1">
      <c r="A117" s="99" t="s">
        <v>320</v>
      </c>
      <c r="B117" s="26"/>
      <c r="C117" s="26"/>
      <c r="D117" s="26"/>
      <c r="E117" s="26"/>
      <c r="F117" s="26"/>
      <c r="G117" s="26"/>
      <c r="H117" s="29"/>
    </row>
    <row r="118" ht="15.75" customHeight="1">
      <c r="A118" s="115"/>
      <c r="B118" s="89"/>
      <c r="C118" s="89"/>
      <c r="D118" s="89"/>
      <c r="E118" s="89"/>
      <c r="F118" s="89"/>
      <c r="G118" s="89"/>
      <c r="H118" s="90"/>
    </row>
    <row r="119" ht="15.75" customHeight="1">
      <c r="A119" s="110"/>
      <c r="H119" s="111"/>
    </row>
    <row r="120" ht="15.75" customHeight="1">
      <c r="A120" s="91"/>
      <c r="B120" s="92"/>
      <c r="C120" s="92"/>
      <c r="D120" s="92"/>
      <c r="E120" s="92"/>
      <c r="F120" s="92"/>
      <c r="G120" s="92"/>
      <c r="H120" s="93"/>
    </row>
    <row r="121" ht="15.75" customHeight="1">
      <c r="A121" s="99" t="s">
        <v>325</v>
      </c>
      <c r="B121" s="26"/>
      <c r="C121" s="26"/>
      <c r="D121" s="26"/>
      <c r="E121" s="26"/>
      <c r="F121" s="26"/>
      <c r="G121" s="26"/>
      <c r="H121" s="29"/>
    </row>
    <row r="122" ht="15.75" customHeight="1">
      <c r="A122" s="115"/>
      <c r="B122" s="89"/>
      <c r="C122" s="89"/>
      <c r="D122" s="89"/>
      <c r="E122" s="89"/>
      <c r="F122" s="89"/>
      <c r="G122" s="89"/>
      <c r="H122" s="90"/>
    </row>
    <row r="123" ht="15.75" customHeight="1">
      <c r="A123" s="110"/>
      <c r="H123" s="111"/>
    </row>
    <row r="124" ht="15.75" customHeight="1">
      <c r="A124" s="110"/>
      <c r="H124" s="111"/>
    </row>
    <row r="125" ht="15.75" customHeight="1">
      <c r="A125" s="91"/>
      <c r="B125" s="92"/>
      <c r="C125" s="92"/>
      <c r="D125" s="92"/>
      <c r="E125" s="92"/>
      <c r="F125" s="92"/>
      <c r="G125" s="92"/>
      <c r="H125" s="93"/>
    </row>
    <row r="126" ht="15.75" customHeight="1"/>
    <row r="127" ht="15.75" customHeight="1"/>
    <row r="128" ht="15.75" customHeight="1">
      <c r="A128" s="97" t="s">
        <v>466</v>
      </c>
      <c r="E128" s="82" t="s">
        <v>226</v>
      </c>
      <c r="F128" s="107"/>
      <c r="G128" s="82" t="s">
        <v>317</v>
      </c>
      <c r="H128" s="107"/>
    </row>
    <row r="129" ht="15.75" customHeight="1">
      <c r="A129" s="109" t="s">
        <v>335</v>
      </c>
    </row>
    <row r="130" ht="15.75" customHeight="1">
      <c r="A130" s="102" t="s">
        <v>238</v>
      </c>
      <c r="B130" s="32"/>
      <c r="C130" s="26"/>
      <c r="D130" s="26"/>
      <c r="E130" s="26"/>
      <c r="F130" s="26"/>
      <c r="G130" s="26"/>
      <c r="H130" s="29"/>
    </row>
    <row r="131" ht="15.75" customHeight="1">
      <c r="A131" s="102" t="s">
        <v>238</v>
      </c>
      <c r="B131" s="32"/>
      <c r="C131" s="26"/>
      <c r="D131" s="26"/>
      <c r="E131" s="26"/>
      <c r="F131" s="26"/>
      <c r="G131" s="26"/>
      <c r="H131" s="29"/>
    </row>
    <row r="132" ht="15.75" customHeight="1">
      <c r="A132" s="102" t="s">
        <v>238</v>
      </c>
      <c r="B132" s="32"/>
      <c r="C132" s="26"/>
      <c r="D132" s="26"/>
      <c r="E132" s="26"/>
      <c r="F132" s="26"/>
      <c r="G132" s="26"/>
      <c r="H132" s="29"/>
    </row>
    <row r="133" ht="15.75" customHeight="1">
      <c r="A133" s="102" t="s">
        <v>318</v>
      </c>
      <c r="B133" s="32"/>
      <c r="C133" s="26"/>
      <c r="D133" s="26"/>
      <c r="E133" s="26"/>
      <c r="F133" s="26"/>
      <c r="G133" s="26"/>
      <c r="H133" s="29"/>
    </row>
    <row r="134" ht="15.75" customHeight="1">
      <c r="A134" s="99" t="s">
        <v>320</v>
      </c>
      <c r="B134" s="26"/>
      <c r="C134" s="26"/>
      <c r="D134" s="26"/>
      <c r="E134" s="26"/>
      <c r="F134" s="26"/>
      <c r="G134" s="26"/>
      <c r="H134" s="29"/>
    </row>
    <row r="135" ht="15.75" customHeight="1">
      <c r="A135" s="115"/>
      <c r="B135" s="89"/>
      <c r="C135" s="89"/>
      <c r="D135" s="89"/>
      <c r="E135" s="89"/>
      <c r="F135" s="89"/>
      <c r="G135" s="89"/>
      <c r="H135" s="90"/>
    </row>
    <row r="136" ht="15.75" customHeight="1">
      <c r="A136" s="110"/>
      <c r="H136" s="111"/>
    </row>
    <row r="137" ht="15.75" customHeight="1">
      <c r="A137" s="91"/>
      <c r="B137" s="92"/>
      <c r="C137" s="92"/>
      <c r="D137" s="92"/>
      <c r="E137" s="92"/>
      <c r="F137" s="92"/>
      <c r="G137" s="92"/>
      <c r="H137" s="93"/>
    </row>
    <row r="138" ht="15.75" customHeight="1">
      <c r="A138" s="99" t="s">
        <v>325</v>
      </c>
      <c r="B138" s="26"/>
      <c r="C138" s="26"/>
      <c r="D138" s="26"/>
      <c r="E138" s="26"/>
      <c r="F138" s="26"/>
      <c r="G138" s="26"/>
      <c r="H138" s="29"/>
    </row>
    <row r="139" ht="15.75" customHeight="1">
      <c r="A139" s="115"/>
      <c r="B139" s="89"/>
      <c r="C139" s="89"/>
      <c r="D139" s="89"/>
      <c r="E139" s="89"/>
      <c r="F139" s="89"/>
      <c r="G139" s="89"/>
      <c r="H139" s="90"/>
    </row>
    <row r="140" ht="15.75" customHeight="1">
      <c r="A140" s="110"/>
      <c r="H140" s="111"/>
    </row>
    <row r="141" ht="15.75" customHeight="1">
      <c r="A141" s="110"/>
      <c r="H141" s="111"/>
    </row>
    <row r="142" ht="15.75" customHeight="1">
      <c r="A142" s="91"/>
      <c r="B142" s="92"/>
      <c r="C142" s="92"/>
      <c r="D142" s="92"/>
      <c r="E142" s="92"/>
      <c r="F142" s="92"/>
      <c r="G142" s="92"/>
      <c r="H142" s="93"/>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0" t="s">
        <v>343</v>
      </c>
      <c r="B1" s="10" t="s">
        <v>344</v>
      </c>
      <c r="C1" s="10" t="s">
        <v>22</v>
      </c>
      <c r="D1" s="10" t="s">
        <v>30</v>
      </c>
    </row>
    <row r="2">
      <c r="A2" s="10" t="s">
        <v>345</v>
      </c>
      <c r="B2" s="10" t="str">
        <f>Competencias!C13</f>
        <v>Analiza principios de comunicación asertiva mediante técnicas verbales, no verbales y autoevaluación guiada para expresar ideas con claridad, respeto y seguridad en contextos académicos y laborales </v>
      </c>
      <c r="C2" s="1" t="s">
        <v>347</v>
      </c>
      <c r="D2" s="1" t="s">
        <v>348</v>
      </c>
    </row>
    <row r="3">
      <c r="A3" s="10" t="s">
        <v>349</v>
      </c>
      <c r="B3" s="10" t="str">
        <f>Competencias!C15</f>
        <v>Crea estrategias de comunicación efectiva utilizando técnicas de escucha activa y empatía para interpretar mensajes con precisión y responder adecuadamente </v>
      </c>
      <c r="C3" s="1" t="s">
        <v>350</v>
      </c>
      <c r="D3" s="1" t="s">
        <v>351</v>
      </c>
    </row>
    <row r="4">
      <c r="A4" s="10" t="s">
        <v>352</v>
      </c>
      <c r="B4" s="10" t="str">
        <f>Competencias!C17</f>
        <v>Implementa procesos de comunicación en equipos presenciales y virtuales empleando herramientas colaborativas, metodologías ágiles y técnicas de coordinación estructurada para colaborar eficazmente y resolver problemáticas comunes </v>
      </c>
      <c r="C4" s="1" t="s">
        <v>354</v>
      </c>
      <c r="D4" s="1" t="s">
        <v>355</v>
      </c>
    </row>
    <row r="5">
      <c r="A5" s="10" t="s">
        <v>357</v>
      </c>
      <c r="B5" s="10" t="str">
        <f>Competencias!C19</f>
        <v>Diseña mensajes persuasivos y presentaciones profesionales aplicando técnicas de argumentación, análisis de audiencia y estructuras discursivas para comunicar propuestas de manera clara, convincente y estructurada </v>
      </c>
      <c r="C5" s="1" t="s">
        <v>358</v>
      </c>
      <c r="D5" s="1" t="s">
        <v>359</v>
      </c>
    </row>
    <row r="6">
      <c r="A6" s="10" t="s">
        <v>360</v>
      </c>
      <c r="B6" s="10" t="str">
        <f>Competencias!C21</f>
        <v>Crea mensajes asertivos orientados a la resolución de conflictos mediante el uso de estrategias comunicativas adecuadas para generar soluciones colaborativas en entornos académicos y profesionales </v>
      </c>
      <c r="C6" s="1" t="s">
        <v>362</v>
      </c>
      <c r="D6" s="1" t="s">
        <v>363</v>
      </c>
    </row>
    <row r="7">
      <c r="A7" s="10" t="s">
        <v>364</v>
      </c>
      <c r="B7" s="10" t="str">
        <f>Competencias!C23</f>
        <v>Explica las características de la comunicación asertiva frente a estilos pasivos y agresivos utilizando ejemplos prácticos y análisis comparativo para mejorar la interacción en equipos de trabajo </v>
      </c>
      <c r="C7" s="1" t="s">
        <v>365</v>
      </c>
      <c r="D7" s="1" t="s">
        <v>366</v>
      </c>
    </row>
    <row r="8">
      <c r="A8" s="10" t="s">
        <v>367</v>
      </c>
      <c r="B8" s="10" t="str">
        <f>Competencias!C25</f>
        <v>Reconoce los elementos del proceso comunicativo y barreras comunes mediante el análisis de situaciones reales para optimizar la comunicación en contextos orales y escritos </v>
      </c>
      <c r="C8" s="1" t="s">
        <v>368</v>
      </c>
      <c r="D8" s="1" t="s">
        <v>369</v>
      </c>
    </row>
    <row r="9">
      <c r="A9" s="10" t="s">
        <v>370</v>
      </c>
      <c r="C9" s="1" t="s">
        <v>371</v>
      </c>
    </row>
    <row r="10">
      <c r="A10" s="10" t="s">
        <v>372</v>
      </c>
      <c r="C10" s="1" t="s">
        <v>373</v>
      </c>
    </row>
    <row r="11">
      <c r="A11" s="10" t="s">
        <v>374</v>
      </c>
    </row>
    <row r="12">
      <c r="A12" s="10" t="s">
        <v>375</v>
      </c>
    </row>
    <row r="13">
      <c r="A13" s="10" t="s">
        <v>376</v>
      </c>
    </row>
    <row r="14">
      <c r="A14" s="10" t="s">
        <v>377</v>
      </c>
    </row>
    <row r="15">
      <c r="A15" s="10" t="s">
        <v>378</v>
      </c>
    </row>
    <row r="16">
      <c r="A16" s="10" t="s">
        <v>379</v>
      </c>
    </row>
    <row r="17">
      <c r="A17" s="10" t="s">
        <v>380</v>
      </c>
    </row>
    <row r="18">
      <c r="A18" s="10" t="s">
        <v>382</v>
      </c>
    </row>
    <row r="19">
      <c r="A19" s="10" t="s">
        <v>383</v>
      </c>
    </row>
    <row r="20">
      <c r="A20" s="10" t="s">
        <v>384</v>
      </c>
    </row>
    <row r="21">
      <c r="A21" s="10" t="s">
        <v>385</v>
      </c>
    </row>
    <row r="22">
      <c r="A22" s="10" t="s">
        <v>386</v>
      </c>
    </row>
    <row r="23">
      <c r="A23" s="10" t="s">
        <v>387</v>
      </c>
    </row>
    <row r="24">
      <c r="A24" s="10" t="s">
        <v>388</v>
      </c>
    </row>
    <row r="25">
      <c r="A25" s="10" t="s">
        <v>389</v>
      </c>
    </row>
    <row r="26">
      <c r="A26" s="10" t="s">
        <v>390</v>
      </c>
    </row>
    <row r="27">
      <c r="A27" s="10" t="s">
        <v>391</v>
      </c>
    </row>
    <row r="28">
      <c r="A28" s="10" t="s">
        <v>393</v>
      </c>
    </row>
    <row r="29">
      <c r="A29" s="10" t="s">
        <v>394</v>
      </c>
    </row>
    <row r="30">
      <c r="A30" s="10" t="s">
        <v>395</v>
      </c>
    </row>
    <row r="31">
      <c r="A31" s="10" t="s">
        <v>396</v>
      </c>
    </row>
    <row r="32">
      <c r="A32" s="10" t="s">
        <v>397</v>
      </c>
    </row>
    <row r="33">
      <c r="A33" s="10" t="s">
        <v>398</v>
      </c>
    </row>
    <row r="34">
      <c r="A34" s="10" t="s">
        <v>399</v>
      </c>
    </row>
    <row r="35">
      <c r="A35" s="10" t="s">
        <v>400</v>
      </c>
    </row>
    <row r="36">
      <c r="A36" s="10" t="s">
        <v>401</v>
      </c>
    </row>
    <row r="37">
      <c r="A37" s="10" t="s">
        <v>402</v>
      </c>
    </row>
    <row r="38">
      <c r="A38" s="10" t="s">
        <v>403</v>
      </c>
    </row>
    <row r="39">
      <c r="A39" s="10" t="s">
        <v>404</v>
      </c>
    </row>
    <row r="40">
      <c r="A40" s="10" t="s">
        <v>405</v>
      </c>
    </row>
    <row r="41">
      <c r="A41" s="10" t="s">
        <v>407</v>
      </c>
    </row>
    <row r="42">
      <c r="A42" s="10" t="s">
        <v>408</v>
      </c>
    </row>
    <row r="43">
      <c r="A43" s="10" t="s">
        <v>409</v>
      </c>
    </row>
    <row r="44">
      <c r="A44" s="10" t="s">
        <v>410</v>
      </c>
    </row>
    <row r="45">
      <c r="A45" s="10" t="s">
        <v>411</v>
      </c>
    </row>
    <row r="46">
      <c r="A46" s="10" t="s">
        <v>412</v>
      </c>
    </row>
    <row r="47">
      <c r="A47" s="10" t="s">
        <v>413</v>
      </c>
    </row>
    <row r="48">
      <c r="A48" s="10" t="s">
        <v>414</v>
      </c>
    </row>
    <row r="49">
      <c r="A49" s="10" t="s">
        <v>415</v>
      </c>
    </row>
    <row r="50">
      <c r="A50" s="10" t="s">
        <v>416</v>
      </c>
    </row>
    <row r="51">
      <c r="A51" s="10" t="s">
        <v>418</v>
      </c>
    </row>
    <row r="52">
      <c r="A52" s="10" t="s">
        <v>419</v>
      </c>
    </row>
    <row r="53">
      <c r="A53" s="10" t="s">
        <v>420</v>
      </c>
    </row>
    <row r="54">
      <c r="A54" s="10" t="s">
        <v>421</v>
      </c>
    </row>
    <row r="55">
      <c r="A55" s="10" t="s">
        <v>422</v>
      </c>
    </row>
    <row r="56">
      <c r="A56" s="10" t="s">
        <v>423</v>
      </c>
    </row>
    <row r="57">
      <c r="A57" s="10" t="s">
        <v>424</v>
      </c>
    </row>
    <row r="58">
      <c r="A58" s="10" t="s">
        <v>425</v>
      </c>
    </row>
    <row r="59">
      <c r="A59" s="10" t="s">
        <v>426</v>
      </c>
    </row>
    <row r="60">
      <c r="A60" s="10" t="s">
        <v>427</v>
      </c>
    </row>
    <row r="61">
      <c r="A61" s="10" t="s">
        <v>428</v>
      </c>
    </row>
    <row r="62">
      <c r="A62" s="10" t="s">
        <v>429</v>
      </c>
    </row>
    <row r="63">
      <c r="A63" s="10" t="s">
        <v>430</v>
      </c>
    </row>
    <row r="64">
      <c r="A64" s="10" t="s">
        <v>431</v>
      </c>
    </row>
    <row r="65">
      <c r="A65" s="10" t="s">
        <v>432</v>
      </c>
    </row>
    <row r="66">
      <c r="A66" s="10" t="s">
        <v>433</v>
      </c>
    </row>
    <row r="67">
      <c r="A67" s="10" t="s">
        <v>434</v>
      </c>
    </row>
    <row r="68">
      <c r="A68" s="10" t="s">
        <v>435</v>
      </c>
    </row>
    <row r="69">
      <c r="A69" s="10" t="s">
        <v>436</v>
      </c>
    </row>
    <row r="70">
      <c r="A70" s="10" t="s">
        <v>437</v>
      </c>
    </row>
    <row r="71">
      <c r="A71" s="10" t="s">
        <v>438</v>
      </c>
    </row>
    <row r="72">
      <c r="A72" s="10" t="s">
        <v>439</v>
      </c>
    </row>
    <row r="73">
      <c r="A73" s="10" t="s">
        <v>440</v>
      </c>
    </row>
    <row r="74">
      <c r="A74" s="10" t="s">
        <v>441</v>
      </c>
    </row>
    <row r="75">
      <c r="A75" s="10" t="s">
        <v>442</v>
      </c>
    </row>
    <row r="76">
      <c r="A76" s="10" t="s">
        <v>443</v>
      </c>
    </row>
    <row r="77">
      <c r="A77" s="10" t="s">
        <v>444</v>
      </c>
    </row>
    <row r="78">
      <c r="A78" s="10" t="s">
        <v>445</v>
      </c>
    </row>
    <row r="79">
      <c r="A79" s="10" t="s">
        <v>446</v>
      </c>
    </row>
    <row r="80">
      <c r="A80" s="10" t="s">
        <v>447</v>
      </c>
    </row>
    <row r="81">
      <c r="A81" s="10" t="s">
        <v>4</v>
      </c>
    </row>
  </sheetData>
  <drawing r:id="rId1"/>
</worksheet>
</file>